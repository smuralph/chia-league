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76ec5b04b304f7/Claude Documents/Projects/Fantasy_Football/Chia_League/"/>
    </mc:Choice>
  </mc:AlternateContent>
  <xr:revisionPtr revIDLastSave="594" documentId="8_{E1347BA3-F1B1-4B0B-89D9-49A0F674E9CD}" xr6:coauthVersionLast="47" xr6:coauthVersionMax="47" xr10:uidLastSave="{24F5724B-2374-48DD-88CB-2E365F166C25}"/>
  <bookViews>
    <workbookView xWindow="-28920" yWindow="465" windowWidth="29040" windowHeight="15720" activeTab="1" xr2:uid="{50A97431-F468-4CA4-A77B-163141B5342F}"/>
  </bookViews>
  <sheets>
    <sheet name="Detail1" sheetId="4" r:id="rId1"/>
    <sheet name="Sheet1" sheetId="3" r:id="rId2"/>
    <sheet name="Season_Summary" sheetId="2" r:id="rId3"/>
  </sheets>
  <definedNames>
    <definedName name="_xlnm._FilterDatabase" localSheetId="2" hidden="1">Season_Summary!$A$1:$T$143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2" i="2"/>
</calcChain>
</file>

<file path=xl/sharedStrings.xml><?xml version="1.0" encoding="utf-8"?>
<sst xmlns="http://schemas.openxmlformats.org/spreadsheetml/2006/main" count="777" uniqueCount="87">
  <si>
    <t>Rito Guia</t>
  </si>
  <si>
    <t>Chris Devlin</t>
  </si>
  <si>
    <t>Daniel Murray</t>
  </si>
  <si>
    <t>Misael Rubio</t>
  </si>
  <si>
    <t>Albert Martinez</t>
  </si>
  <si>
    <t>Marco De Leon</t>
  </si>
  <si>
    <t>Ernie Meza</t>
  </si>
  <si>
    <t>Roger Torres</t>
  </si>
  <si>
    <t>Rafael Guevara</t>
  </si>
  <si>
    <t>Chris Varughese</t>
  </si>
  <si>
    <t>Dario Lopez</t>
  </si>
  <si>
    <t>Robert Tinajero</t>
  </si>
  <si>
    <t>Season</t>
  </si>
  <si>
    <t>Team Name</t>
  </si>
  <si>
    <t>Owner</t>
  </si>
  <si>
    <t>Since Year</t>
  </si>
  <si>
    <t>Final Rank</t>
  </si>
  <si>
    <t>Wins</t>
  </si>
  <si>
    <t>Losses</t>
  </si>
  <si>
    <t>Ties</t>
  </si>
  <si>
    <t>Points For</t>
  </si>
  <si>
    <t>Points Against</t>
  </si>
  <si>
    <t>Made Playoffs</t>
  </si>
  <si>
    <t>Grunky Peep</t>
  </si>
  <si>
    <t>Gotham Rogues</t>
  </si>
  <si>
    <t>Beg Burrow or Rob</t>
  </si>
  <si>
    <t>Moron Dogs</t>
  </si>
  <si>
    <t>Carroz Con Pollo</t>
  </si>
  <si>
    <t>bAss Masters</t>
  </si>
  <si>
    <t>ShooKC ones</t>
  </si>
  <si>
    <t>Big OH TD's</t>
  </si>
  <si>
    <t>Burrowing with a Kupp to Win</t>
  </si>
  <si>
    <t>Unsolicited Dak Pics</t>
  </si>
  <si>
    <t>Taylor Made Champion</t>
  </si>
  <si>
    <t>Mr. McGibblets</t>
  </si>
  <si>
    <t>Living Tha Dream</t>
  </si>
  <si>
    <t>Racks n Backs</t>
  </si>
  <si>
    <t>Taking a Knee us</t>
  </si>
  <si>
    <t>Mikaela's Meatloaf</t>
  </si>
  <si>
    <t>Schlobowl bound</t>
  </si>
  <si>
    <t>Kirk'sMexicanCousins</t>
  </si>
  <si>
    <t>Omar's 12-gauge</t>
  </si>
  <si>
    <t>FREE AARON HERNANDEZ</t>
  </si>
  <si>
    <t>Art Monkies #chiaRIP</t>
  </si>
  <si>
    <t>droppin deuces</t>
  </si>
  <si>
    <t>The Stanghorns</t>
  </si>
  <si>
    <t>ODPRadio.com</t>
  </si>
  <si>
    <t>Titan up!</t>
  </si>
  <si>
    <t>The Berts</t>
  </si>
  <si>
    <t>Aubrey the Hunter</t>
  </si>
  <si>
    <t>Kupp My Murray Halls</t>
  </si>
  <si>
    <t>Lower Valley Vatos</t>
  </si>
  <si>
    <t>It's a Purdy McCaff in London</t>
  </si>
  <si>
    <t>D+</t>
  </si>
  <si>
    <t>Wash-Deez-Nutz</t>
  </si>
  <si>
    <t>All Bark No Bite</t>
  </si>
  <si>
    <t>Auto Draft</t>
  </si>
  <si>
    <t>Scary Fucking Terry</t>
  </si>
  <si>
    <t>MUPCO BARGO</t>
  </si>
  <si>
    <t>Young Fitzmagic</t>
  </si>
  <si>
    <t>Ron Rivera's Nutz</t>
  </si>
  <si>
    <t>Yesy's Yams</t>
  </si>
  <si>
    <t>Kupp My Chubby Dak</t>
  </si>
  <si>
    <t>BeetleGuice</t>
  </si>
  <si>
    <t>Logan's Lemons</t>
  </si>
  <si>
    <t>Bub Rub &amp; Lil Sis</t>
  </si>
  <si>
    <t>Grab'em by the Percy</t>
  </si>
  <si>
    <t>Tyrod Tinker - Bells</t>
  </si>
  <si>
    <t>PlayingUnderProtest</t>
  </si>
  <si>
    <t>7-11 Bums</t>
  </si>
  <si>
    <t>Repeat Offender</t>
  </si>
  <si>
    <t>WackAssCommish</t>
  </si>
  <si>
    <t>Hood Rat Hunters</t>
  </si>
  <si>
    <t>Art Monkies #chicos</t>
  </si>
  <si>
    <t>Moves</t>
  </si>
  <si>
    <t>Y</t>
  </si>
  <si>
    <t>N</t>
  </si>
  <si>
    <t>champion</t>
  </si>
  <si>
    <t>podium</t>
  </si>
  <si>
    <t>Games</t>
  </si>
  <si>
    <t>Draft Order</t>
  </si>
  <si>
    <t>Row Labels</t>
  </si>
  <si>
    <t>(blank)</t>
  </si>
  <si>
    <t>Grand Total</t>
  </si>
  <si>
    <t>Sum of Points For</t>
  </si>
  <si>
    <t>Column Labels</t>
  </si>
  <si>
    <t>Details for Sum of Wins - Owner: Rito Guia, podium: Y, Season: 2014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</si>
</sst>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Guevara Jr" refreshedDate="46260.82457650463" createdVersion="8" refreshedVersion="8" minRefreshableVersion="3" recordCount="143" xr:uid="{62EBC893-4FD6-4B03-98DA-B7301EF7ACBC}">
  <cacheSource type="worksheet">
    <worksheetSource ref="A1:P1048576" sheet="Season_Summary"/>
  </cacheSource>
  <cacheFields count="16">
    <cacheField name="Season" numFmtId="0">
      <sharedItems containsString="0" containsBlank="1" containsNumber="1" containsInteger="1" minValue="2014" maxValue="2025" count="13">
        <n v="2025"/>
        <n v="2024"/>
        <n v="2023"/>
        <n v="2022"/>
        <n v="2021"/>
        <n v="2020"/>
        <n v="2019"/>
        <n v="2018"/>
        <n v="2017"/>
        <n v="2016"/>
        <n v="2015"/>
        <n v="2014"/>
        <m/>
      </sharedItems>
    </cacheField>
    <cacheField name="Team Name" numFmtId="0">
      <sharedItems containsBlank="1"/>
    </cacheField>
    <cacheField name="Owner" numFmtId="0">
      <sharedItems containsBlank="1" count="13">
        <s v="Rito Guia"/>
        <s v="Daniel Murray"/>
        <s v="Misael Rubio"/>
        <s v="Chris Devlin"/>
        <s v="Albert Martinez"/>
        <s v="Marco De Leon"/>
        <s v="Ernie Meza"/>
        <s v="Roger Torres"/>
        <s v="Rafael Guevara"/>
        <s v="Chris Varughese"/>
        <s v="Dario Lopez"/>
        <s v="Robert Tinajero"/>
        <m/>
      </sharedItems>
    </cacheField>
    <cacheField name="Since Year" numFmtId="0">
      <sharedItems containsString="0" containsBlank="1" containsNumber="1" containsInteger="1" minValue="2001" maxValue="2014"/>
    </cacheField>
    <cacheField name="Final Rank" numFmtId="0">
      <sharedItems containsString="0" containsBlank="1" containsNumber="1" containsInteger="1" minValue="1" maxValue="14"/>
    </cacheField>
    <cacheField name="Wins" numFmtId="0">
      <sharedItems containsString="0" containsBlank="1" containsNumber="1" containsInteger="1" minValue="2" maxValue="12"/>
    </cacheField>
    <cacheField name="Losses" numFmtId="0">
      <sharedItems containsString="0" containsBlank="1" containsNumber="1" containsInteger="1" minValue="2" maxValue="12"/>
    </cacheField>
    <cacheField name="Ties" numFmtId="0">
      <sharedItems containsString="0" containsBlank="1" containsNumber="1" containsInteger="1" minValue="0" maxValue="0"/>
    </cacheField>
    <cacheField name="Points For" numFmtId="0">
      <sharedItems containsString="0" containsBlank="1" containsNumber="1" minValue="1114.44" maxValue="2049.3000000000002"/>
    </cacheField>
    <cacheField name="Points Against" numFmtId="0">
      <sharedItems containsString="0" containsBlank="1" containsNumber="1" minValue="1083.3" maxValue="1900.64"/>
    </cacheField>
    <cacheField name="Made Playoffs" numFmtId="0">
      <sharedItems containsBlank="1" count="3">
        <s v="Y"/>
        <s v="N"/>
        <m/>
      </sharedItems>
    </cacheField>
    <cacheField name="Moves" numFmtId="0">
      <sharedItems containsString="0" containsBlank="1" containsNumber="1" containsInteger="1" minValue="3" maxValue="85"/>
    </cacheField>
    <cacheField name="champion" numFmtId="0">
      <sharedItems containsBlank="1" count="3">
        <s v="Y"/>
        <s v="N"/>
        <m/>
      </sharedItems>
    </cacheField>
    <cacheField name="podium" numFmtId="0">
      <sharedItems containsBlank="1" count="3">
        <s v="Y"/>
        <s v="N"/>
        <m/>
      </sharedItems>
    </cacheField>
    <cacheField name="Games" numFmtId="0">
      <sharedItems containsString="0" containsBlank="1" containsNumber="1" containsInteger="1" minValue="14" maxValue="14"/>
    </cacheField>
    <cacheField name="Draft Order" numFmtId="0">
      <sharedItems containsString="0" containsBlank="1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Grunky Peep"/>
    <x v="0"/>
    <n v="2003"/>
    <n v="1"/>
    <n v="12"/>
    <n v="2"/>
    <n v="0"/>
    <n v="2049.3000000000002"/>
    <n v="1543.86"/>
    <x v="0"/>
    <n v="8"/>
    <x v="0"/>
    <x v="0"/>
    <n v="14"/>
    <n v="5"/>
  </r>
  <r>
    <x v="0"/>
    <s v="Gotham Rogues"/>
    <x v="1"/>
    <n v="2012"/>
    <n v="2"/>
    <n v="8"/>
    <n v="6"/>
    <n v="0"/>
    <n v="1730.62"/>
    <n v="1691.22"/>
    <x v="0"/>
    <n v="12"/>
    <x v="1"/>
    <x v="0"/>
    <n v="14"/>
    <n v="4"/>
  </r>
  <r>
    <x v="0"/>
    <s v="Beg Burrow or Rob"/>
    <x v="2"/>
    <n v="2001"/>
    <n v="3"/>
    <n v="7"/>
    <n v="7"/>
    <n v="0"/>
    <n v="1728.44"/>
    <n v="1584.9"/>
    <x v="0"/>
    <n v="37"/>
    <x v="1"/>
    <x v="0"/>
    <n v="14"/>
    <n v="3"/>
  </r>
  <r>
    <x v="0"/>
    <s v="Moron Dogs"/>
    <x v="3"/>
    <n v="2003"/>
    <n v="4"/>
    <n v="10"/>
    <n v="4"/>
    <n v="0"/>
    <n v="1855.44"/>
    <n v="1616.18"/>
    <x v="0"/>
    <n v="15"/>
    <x v="1"/>
    <x v="1"/>
    <n v="14"/>
    <n v="9"/>
  </r>
  <r>
    <x v="0"/>
    <s v="Big OH TD's"/>
    <x v="4"/>
    <n v="2001"/>
    <n v="5"/>
    <n v="8"/>
    <n v="6"/>
    <n v="0"/>
    <n v="1686.98"/>
    <n v="1671.12"/>
    <x v="0"/>
    <n v="11"/>
    <x v="1"/>
    <x v="1"/>
    <n v="14"/>
    <n v="11"/>
  </r>
  <r>
    <x v="0"/>
    <s v="Titan up!"/>
    <x v="5"/>
    <n v="2014"/>
    <n v="6"/>
    <n v="9"/>
    <n v="5"/>
    <n v="0"/>
    <n v="1574.7"/>
    <n v="1714.9"/>
    <x v="0"/>
    <n v="43"/>
    <x v="1"/>
    <x v="1"/>
    <n v="14"/>
    <n v="6"/>
  </r>
  <r>
    <x v="0"/>
    <s v="Carroz Con Pollo"/>
    <x v="6"/>
    <n v="2002"/>
    <n v="7"/>
    <n v="5"/>
    <n v="9"/>
    <n v="0"/>
    <n v="1555.56"/>
    <n v="1756.02"/>
    <x v="1"/>
    <n v="21"/>
    <x v="1"/>
    <x v="1"/>
    <n v="14"/>
    <n v="10"/>
  </r>
  <r>
    <x v="0"/>
    <s v="Aubrey the Hunter"/>
    <x v="7"/>
    <n v="2008"/>
    <n v="8"/>
    <n v="6"/>
    <n v="8"/>
    <n v="0"/>
    <n v="1534.66"/>
    <n v="1582.78"/>
    <x v="1"/>
    <n v="22"/>
    <x v="1"/>
    <x v="1"/>
    <n v="14"/>
    <n v="8"/>
  </r>
  <r>
    <x v="0"/>
    <s v="Omar's 12-gauge"/>
    <x v="8"/>
    <n v="2003"/>
    <n v="9"/>
    <n v="6"/>
    <n v="8"/>
    <n v="0"/>
    <n v="1633.56"/>
    <n v="1643.1"/>
    <x v="1"/>
    <n v="8"/>
    <x v="1"/>
    <x v="1"/>
    <n v="14"/>
    <n v="1"/>
  </r>
  <r>
    <x v="0"/>
    <s v="ShooKC ones"/>
    <x v="9"/>
    <n v="2001"/>
    <n v="10"/>
    <n v="7"/>
    <n v="7"/>
    <n v="0"/>
    <n v="1671.2"/>
    <n v="1522.56"/>
    <x v="1"/>
    <n v="20"/>
    <x v="1"/>
    <x v="1"/>
    <n v="14"/>
    <n v="12"/>
  </r>
  <r>
    <x v="0"/>
    <s v="Living Tha Dream"/>
    <x v="10"/>
    <n v="2002"/>
    <n v="11"/>
    <n v="2"/>
    <n v="12"/>
    <n v="0"/>
    <n v="1392.28"/>
    <n v="1693.66"/>
    <x v="1"/>
    <n v="16"/>
    <x v="1"/>
    <x v="1"/>
    <n v="14"/>
    <n v="7"/>
  </r>
  <r>
    <x v="0"/>
    <s v="The Berts"/>
    <x v="11"/>
    <n v="2008"/>
    <n v="12"/>
    <n v="4"/>
    <n v="10"/>
    <n v="0"/>
    <n v="1508.2"/>
    <n v="1900.64"/>
    <x v="1"/>
    <n v="48"/>
    <x v="1"/>
    <x v="1"/>
    <n v="14"/>
    <n v="2"/>
  </r>
  <r>
    <x v="1"/>
    <s v="Moron Dogs"/>
    <x v="3"/>
    <n v="2003"/>
    <n v="1"/>
    <n v="7"/>
    <n v="7"/>
    <n v="0"/>
    <n v="1807.48"/>
    <n v="1858.82"/>
    <x v="0"/>
    <n v="7"/>
    <x v="0"/>
    <x v="0"/>
    <n v="14"/>
    <n v="6"/>
  </r>
  <r>
    <x v="1"/>
    <s v="Carroz Con Pollo"/>
    <x v="6"/>
    <n v="2002"/>
    <n v="2"/>
    <n v="7"/>
    <n v="7"/>
    <n v="0"/>
    <n v="1772"/>
    <n v="1640.14"/>
    <x v="0"/>
    <n v="17"/>
    <x v="1"/>
    <x v="0"/>
    <n v="14"/>
    <n v="9"/>
  </r>
  <r>
    <x v="1"/>
    <s v="Grunky Peep"/>
    <x v="0"/>
    <n v="2003"/>
    <n v="3"/>
    <n v="10"/>
    <n v="4"/>
    <n v="0"/>
    <n v="1758.02"/>
    <n v="1689"/>
    <x v="0"/>
    <n v="20"/>
    <x v="1"/>
    <x v="0"/>
    <n v="14"/>
    <n v="3"/>
  </r>
  <r>
    <x v="1"/>
    <s v="Lower Valley Vatos"/>
    <x v="11"/>
    <n v="2008"/>
    <n v="4"/>
    <n v="10"/>
    <n v="4"/>
    <n v="0"/>
    <n v="1712.76"/>
    <n v="1608.4"/>
    <x v="0"/>
    <n v="51"/>
    <x v="1"/>
    <x v="1"/>
    <n v="14"/>
    <n v="11"/>
  </r>
  <r>
    <x v="1"/>
    <s v="Gotham Rogues"/>
    <x v="1"/>
    <n v="2012"/>
    <n v="5"/>
    <n v="9"/>
    <n v="5"/>
    <n v="0"/>
    <n v="1784.36"/>
    <n v="1700"/>
    <x v="0"/>
    <n v="10"/>
    <x v="1"/>
    <x v="1"/>
    <n v="14"/>
    <n v="12"/>
  </r>
  <r>
    <x v="1"/>
    <s v="Omar's 12-gauge"/>
    <x v="8"/>
    <n v="2003"/>
    <n v="6"/>
    <n v="9"/>
    <n v="5"/>
    <n v="0"/>
    <n v="1895.62"/>
    <n v="1682"/>
    <x v="0"/>
    <n v="11"/>
    <x v="1"/>
    <x v="1"/>
    <n v="14"/>
    <n v="10"/>
  </r>
  <r>
    <x v="1"/>
    <s v="ShooKC ones"/>
    <x v="9"/>
    <n v="2001"/>
    <n v="7"/>
    <n v="6"/>
    <n v="8"/>
    <n v="0"/>
    <n v="1597.12"/>
    <n v="1769.52"/>
    <x v="1"/>
    <n v="18"/>
    <x v="1"/>
    <x v="1"/>
    <n v="14"/>
    <n v="7"/>
  </r>
  <r>
    <x v="1"/>
    <s v="Kupp My Murray Halls"/>
    <x v="2"/>
    <n v="2001"/>
    <n v="8"/>
    <n v="3"/>
    <n v="11"/>
    <n v="0"/>
    <n v="1558.58"/>
    <n v="1696.86"/>
    <x v="1"/>
    <n v="27"/>
    <x v="1"/>
    <x v="1"/>
    <n v="14"/>
    <n v="5"/>
  </r>
  <r>
    <x v="1"/>
    <s v="Titan up!"/>
    <x v="5"/>
    <n v="2014"/>
    <n v="9"/>
    <n v="7"/>
    <n v="7"/>
    <n v="0"/>
    <n v="1662.38"/>
    <n v="1690.42"/>
    <x v="1"/>
    <n v="37"/>
    <x v="1"/>
    <x v="1"/>
    <n v="14"/>
    <n v="8"/>
  </r>
  <r>
    <x v="1"/>
    <s v="Big OH TD's"/>
    <x v="4"/>
    <n v="2001"/>
    <n v="10"/>
    <n v="6"/>
    <n v="8"/>
    <n v="0"/>
    <n v="1725.14"/>
    <n v="1646.58"/>
    <x v="1"/>
    <n v="15"/>
    <x v="1"/>
    <x v="1"/>
    <n v="14"/>
    <n v="4"/>
  </r>
  <r>
    <x v="1"/>
    <s v="Living Tha Dream"/>
    <x v="10"/>
    <n v="2002"/>
    <n v="11"/>
    <n v="4"/>
    <n v="10"/>
    <n v="0"/>
    <n v="1615.6"/>
    <n v="1739.56"/>
    <x v="1"/>
    <n v="20"/>
    <x v="1"/>
    <x v="1"/>
    <n v="14"/>
    <n v="2"/>
  </r>
  <r>
    <x v="1"/>
    <s v="It's a Purdy McCaff in London"/>
    <x v="7"/>
    <n v="2008"/>
    <n v="12"/>
    <n v="6"/>
    <n v="8"/>
    <n v="0"/>
    <n v="1652.52"/>
    <n v="1820.28"/>
    <x v="1"/>
    <n v="19"/>
    <x v="1"/>
    <x v="1"/>
    <n v="14"/>
    <n v="1"/>
  </r>
  <r>
    <x v="2"/>
    <s v="bAss Masters"/>
    <x v="5"/>
    <n v="2014"/>
    <n v="1"/>
    <n v="8"/>
    <n v="6"/>
    <n v="0"/>
    <n v="1713.02"/>
    <n v="1750.5"/>
    <x v="0"/>
    <n v="49"/>
    <x v="0"/>
    <x v="0"/>
    <n v="14"/>
    <n v="9"/>
  </r>
  <r>
    <x v="2"/>
    <s v="ShooKC ones"/>
    <x v="9"/>
    <n v="2001"/>
    <n v="2"/>
    <n v="7"/>
    <n v="7"/>
    <n v="0"/>
    <n v="1766.6"/>
    <n v="1752.98"/>
    <x v="0"/>
    <n v="22"/>
    <x v="1"/>
    <x v="0"/>
    <n v="14"/>
    <n v="5"/>
  </r>
  <r>
    <x v="2"/>
    <s v="Carroz Con Pollo"/>
    <x v="6"/>
    <n v="2002"/>
    <n v="3"/>
    <n v="10"/>
    <n v="4"/>
    <n v="0"/>
    <n v="1933.08"/>
    <n v="1731.06"/>
    <x v="0"/>
    <n v="20"/>
    <x v="1"/>
    <x v="0"/>
    <n v="14"/>
    <n v="6"/>
  </r>
  <r>
    <x v="2"/>
    <s v="D+"/>
    <x v="0"/>
    <n v="2003"/>
    <n v="4"/>
    <n v="8"/>
    <n v="6"/>
    <n v="0"/>
    <n v="1835.4"/>
    <n v="1636.88"/>
    <x v="0"/>
    <n v="23"/>
    <x v="1"/>
    <x v="1"/>
    <n v="14"/>
    <n v="4"/>
  </r>
  <r>
    <x v="2"/>
    <s v="Moron Dogs"/>
    <x v="3"/>
    <n v="2003"/>
    <n v="5"/>
    <n v="7"/>
    <n v="7"/>
    <n v="0"/>
    <n v="1727.32"/>
    <n v="1782.28"/>
    <x v="0"/>
    <n v="7"/>
    <x v="1"/>
    <x v="1"/>
    <n v="14"/>
    <n v="8"/>
  </r>
  <r>
    <x v="2"/>
    <s v="Living Tha Dream"/>
    <x v="10"/>
    <n v="2002"/>
    <n v="6"/>
    <n v="7"/>
    <n v="7"/>
    <n v="0"/>
    <n v="1687.16"/>
    <n v="1563.44"/>
    <x v="0"/>
    <n v="9"/>
    <x v="1"/>
    <x v="1"/>
    <n v="14"/>
    <n v="11"/>
  </r>
  <r>
    <x v="2"/>
    <s v="Omar's 12-gauge"/>
    <x v="8"/>
    <n v="2003"/>
    <n v="7"/>
    <n v="7"/>
    <n v="7"/>
    <n v="0"/>
    <n v="1675.3"/>
    <n v="1694.26"/>
    <x v="1"/>
    <n v="14"/>
    <x v="1"/>
    <x v="1"/>
    <n v="14"/>
    <n v="3"/>
  </r>
  <r>
    <x v="2"/>
    <s v="Gotham Rogues"/>
    <x v="1"/>
    <n v="2012"/>
    <n v="8"/>
    <n v="7"/>
    <n v="7"/>
    <n v="0"/>
    <n v="1627.78"/>
    <n v="1703.96"/>
    <x v="1"/>
    <n v="8"/>
    <x v="1"/>
    <x v="1"/>
    <n v="14"/>
    <n v="10"/>
  </r>
  <r>
    <x v="2"/>
    <s v="All Bark No Bite"/>
    <x v="2"/>
    <n v="2001"/>
    <n v="9"/>
    <n v="5"/>
    <n v="9"/>
    <n v="0"/>
    <n v="1617.82"/>
    <n v="1811.72"/>
    <x v="1"/>
    <n v="27"/>
    <x v="1"/>
    <x v="1"/>
    <n v="14"/>
    <n v="12"/>
  </r>
  <r>
    <x v="2"/>
    <s v="Big OH TD's"/>
    <x v="4"/>
    <n v="2001"/>
    <n v="10"/>
    <n v="5"/>
    <n v="9"/>
    <n v="0"/>
    <n v="1570.9"/>
    <n v="1643.52"/>
    <x v="1"/>
    <n v="17"/>
    <x v="1"/>
    <x v="1"/>
    <n v="14"/>
    <n v="2"/>
  </r>
  <r>
    <x v="2"/>
    <s v="Wash-Deez-Nutz"/>
    <x v="11"/>
    <n v="2008"/>
    <n v="11"/>
    <n v="7"/>
    <n v="7"/>
    <n v="0"/>
    <n v="1627.52"/>
    <n v="1718.08"/>
    <x v="1"/>
    <n v="28"/>
    <x v="1"/>
    <x v="1"/>
    <n v="14"/>
    <n v="7"/>
  </r>
  <r>
    <x v="2"/>
    <s v="Burrowing with a Kupp to Win"/>
    <x v="7"/>
    <n v="2008"/>
    <n v="12"/>
    <n v="6"/>
    <n v="8"/>
    <n v="0"/>
    <n v="1574.18"/>
    <n v="1567.4"/>
    <x v="1"/>
    <n v="11"/>
    <x v="1"/>
    <x v="1"/>
    <n v="14"/>
    <n v="1"/>
  </r>
  <r>
    <x v="3"/>
    <s v="Big OH TD's"/>
    <x v="4"/>
    <n v="2001"/>
    <n v="1"/>
    <n v="7"/>
    <n v="7"/>
    <n v="0"/>
    <n v="1750.16"/>
    <n v="1662.66"/>
    <x v="0"/>
    <n v="26"/>
    <x v="0"/>
    <x v="0"/>
    <n v="14"/>
    <n v="4"/>
  </r>
  <r>
    <x v="3"/>
    <s v="Burrowing with a Kupp to Win"/>
    <x v="7"/>
    <n v="2008"/>
    <n v="2"/>
    <n v="8"/>
    <n v="6"/>
    <n v="0"/>
    <n v="1716.24"/>
    <n v="1652.56"/>
    <x v="0"/>
    <n v="20"/>
    <x v="1"/>
    <x v="0"/>
    <n v="14"/>
    <n v="3"/>
  </r>
  <r>
    <x v="3"/>
    <s v="ShooKC ones"/>
    <x v="9"/>
    <n v="2001"/>
    <n v="3"/>
    <n v="10"/>
    <n v="4"/>
    <n v="0"/>
    <n v="1856.94"/>
    <n v="1646.06"/>
    <x v="0"/>
    <n v="21"/>
    <x v="1"/>
    <x v="0"/>
    <n v="14"/>
    <n v="5"/>
  </r>
  <r>
    <x v="3"/>
    <s v="Omar's 12-gauge"/>
    <x v="8"/>
    <n v="2003"/>
    <n v="4"/>
    <n v="10"/>
    <n v="4"/>
    <n v="0"/>
    <n v="1766.58"/>
    <n v="1622.74"/>
    <x v="0"/>
    <n v="7"/>
    <x v="1"/>
    <x v="1"/>
    <n v="14"/>
    <n v="6"/>
  </r>
  <r>
    <x v="3"/>
    <s v="Living Tha Dream"/>
    <x v="10"/>
    <n v="2002"/>
    <n v="5"/>
    <n v="7"/>
    <n v="7"/>
    <n v="0"/>
    <n v="1742.86"/>
    <n v="1529.98"/>
    <x v="0"/>
    <n v="14"/>
    <x v="1"/>
    <x v="1"/>
    <n v="14"/>
    <n v="7"/>
  </r>
  <r>
    <x v="3"/>
    <s v="Carroz Con Pollo"/>
    <x v="6"/>
    <n v="2002"/>
    <n v="6"/>
    <n v="7"/>
    <n v="7"/>
    <n v="0"/>
    <n v="1846.54"/>
    <n v="1879.38"/>
    <x v="0"/>
    <n v="47"/>
    <x v="1"/>
    <x v="1"/>
    <n v="14"/>
    <n v="2"/>
  </r>
  <r>
    <x v="3"/>
    <s v="Scary Fucking Terry"/>
    <x v="11"/>
    <n v="2008"/>
    <n v="7"/>
    <n v="5"/>
    <n v="9"/>
    <n v="0"/>
    <n v="1322.28"/>
    <n v="1613.92"/>
    <x v="1"/>
    <n v="52"/>
    <x v="1"/>
    <x v="1"/>
    <n v="14"/>
    <n v="9"/>
  </r>
  <r>
    <x v="3"/>
    <s v="Gotham Rogues"/>
    <x v="1"/>
    <n v="2012"/>
    <n v="8"/>
    <n v="5"/>
    <n v="9"/>
    <n v="0"/>
    <n v="1795.96"/>
    <n v="1837.28"/>
    <x v="1"/>
    <n v="15"/>
    <x v="1"/>
    <x v="1"/>
    <n v="14"/>
    <n v="12"/>
  </r>
  <r>
    <x v="3"/>
    <s v="All Bark No Bite"/>
    <x v="2"/>
    <n v="2001"/>
    <n v="9"/>
    <n v="7"/>
    <n v="7"/>
    <n v="0"/>
    <n v="1605.42"/>
    <n v="1711.78"/>
    <x v="1"/>
    <n v="42"/>
    <x v="1"/>
    <x v="1"/>
    <n v="14"/>
    <n v="10"/>
  </r>
  <r>
    <x v="3"/>
    <s v="bAss Masters"/>
    <x v="5"/>
    <n v="2014"/>
    <n v="10"/>
    <n v="6"/>
    <n v="8"/>
    <n v="0"/>
    <n v="1725.74"/>
    <n v="1669.14"/>
    <x v="1"/>
    <n v="28"/>
    <x v="1"/>
    <x v="1"/>
    <n v="14"/>
    <n v="11"/>
  </r>
  <r>
    <x v="3"/>
    <s v="Moron Dogs"/>
    <x v="3"/>
    <n v="2003"/>
    <n v="11"/>
    <n v="6"/>
    <n v="8"/>
    <n v="0"/>
    <n v="1530.32"/>
    <n v="1711.42"/>
    <x v="1"/>
    <n v="12"/>
    <x v="1"/>
    <x v="1"/>
    <n v="14"/>
    <n v="1"/>
  </r>
  <r>
    <x v="3"/>
    <s v="Auto Draft"/>
    <x v="0"/>
    <n v="2003"/>
    <n v="12"/>
    <n v="6"/>
    <n v="8"/>
    <n v="0"/>
    <n v="1507.28"/>
    <n v="1629.4"/>
    <x v="1"/>
    <n v="21"/>
    <x v="1"/>
    <x v="1"/>
    <n v="14"/>
    <n v="8"/>
  </r>
  <r>
    <x v="4"/>
    <s v="Unsolicited Dak Pics"/>
    <x v="6"/>
    <n v="2002"/>
    <n v="1"/>
    <n v="9"/>
    <n v="5"/>
    <n v="0"/>
    <n v="1910.3"/>
    <n v="1843.72"/>
    <x v="0"/>
    <n v="41"/>
    <x v="0"/>
    <x v="0"/>
    <n v="14"/>
    <n v="10"/>
  </r>
  <r>
    <x v="4"/>
    <s v="Taylor Made Champion"/>
    <x v="7"/>
    <n v="2008"/>
    <n v="2"/>
    <n v="8"/>
    <n v="6"/>
    <n v="0"/>
    <n v="1762.22"/>
    <n v="1703.64"/>
    <x v="0"/>
    <n v="30"/>
    <x v="1"/>
    <x v="0"/>
    <n v="14"/>
    <n v="2"/>
  </r>
  <r>
    <x v="4"/>
    <s v="Mr. McGibblets"/>
    <x v="0"/>
    <n v="2003"/>
    <n v="3"/>
    <n v="9"/>
    <n v="5"/>
    <n v="0"/>
    <n v="1875.24"/>
    <n v="1811.7"/>
    <x v="0"/>
    <n v="26"/>
    <x v="1"/>
    <x v="0"/>
    <n v="14"/>
    <n v="9"/>
  </r>
  <r>
    <x v="4"/>
    <s v="Gotham Rogues"/>
    <x v="1"/>
    <n v="2012"/>
    <n v="4"/>
    <n v="8"/>
    <n v="6"/>
    <n v="0"/>
    <n v="1754.32"/>
    <n v="1717.3"/>
    <x v="0"/>
    <n v="9"/>
    <x v="1"/>
    <x v="1"/>
    <n v="14"/>
    <n v="12"/>
  </r>
  <r>
    <x v="4"/>
    <s v="ShooKC ones"/>
    <x v="9"/>
    <n v="2001"/>
    <n v="5"/>
    <n v="7"/>
    <n v="7"/>
    <n v="0"/>
    <n v="1828.98"/>
    <n v="1780.8"/>
    <x v="0"/>
    <n v="42"/>
    <x v="1"/>
    <x v="1"/>
    <n v="14"/>
    <n v="1"/>
  </r>
  <r>
    <x v="4"/>
    <s v="Living Tha Dream"/>
    <x v="10"/>
    <n v="2002"/>
    <n v="6"/>
    <n v="8"/>
    <n v="6"/>
    <n v="0"/>
    <n v="1698.04"/>
    <n v="1706.46"/>
    <x v="0"/>
    <n v="23"/>
    <x v="1"/>
    <x v="1"/>
    <n v="14"/>
    <n v="4"/>
  </r>
  <r>
    <x v="4"/>
    <s v="All Bark No Bite"/>
    <x v="2"/>
    <n v="2001"/>
    <n v="7"/>
    <n v="7"/>
    <n v="7"/>
    <n v="0"/>
    <n v="1713.1"/>
    <n v="1680.78"/>
    <x v="1"/>
    <n v="23"/>
    <x v="1"/>
    <x v="1"/>
    <n v="14"/>
    <n v="8"/>
  </r>
  <r>
    <x v="4"/>
    <s v="Big OH TD's"/>
    <x v="4"/>
    <n v="2001"/>
    <n v="8"/>
    <n v="5"/>
    <n v="9"/>
    <n v="0"/>
    <n v="1721.42"/>
    <n v="1779.56"/>
    <x v="1"/>
    <n v="15"/>
    <x v="1"/>
    <x v="1"/>
    <n v="14"/>
    <n v="5"/>
  </r>
  <r>
    <x v="4"/>
    <s v="Moron Dogs"/>
    <x v="3"/>
    <n v="2003"/>
    <n v="9"/>
    <n v="7"/>
    <n v="7"/>
    <n v="0"/>
    <n v="1764.08"/>
    <n v="1701.36"/>
    <x v="1"/>
    <n v="13"/>
    <x v="1"/>
    <x v="1"/>
    <n v="14"/>
    <n v="7"/>
  </r>
  <r>
    <x v="4"/>
    <s v="Omar's 12-gauge"/>
    <x v="8"/>
    <n v="2003"/>
    <n v="10"/>
    <n v="7"/>
    <n v="7"/>
    <n v="0"/>
    <n v="1817.78"/>
    <n v="1868.98"/>
    <x v="1"/>
    <n v="11"/>
    <x v="1"/>
    <x v="1"/>
    <n v="14"/>
    <n v="11"/>
  </r>
  <r>
    <x v="4"/>
    <s v="MUPCO BARGO"/>
    <x v="5"/>
    <n v="2014"/>
    <n v="11"/>
    <n v="5"/>
    <n v="9"/>
    <n v="0"/>
    <n v="1663.28"/>
    <n v="1816.04"/>
    <x v="1"/>
    <n v="45"/>
    <x v="1"/>
    <x v="1"/>
    <n v="14"/>
    <n v="3"/>
  </r>
  <r>
    <x v="4"/>
    <s v="Young Fitzmagic"/>
    <x v="11"/>
    <n v="2008"/>
    <n v="12"/>
    <n v="4"/>
    <n v="10"/>
    <n v="0"/>
    <n v="1606.44"/>
    <n v="1704.86"/>
    <x v="1"/>
    <n v="48"/>
    <x v="1"/>
    <x v="1"/>
    <n v="14"/>
    <n v="6"/>
  </r>
  <r>
    <x v="5"/>
    <s v="Taylor Made Champion"/>
    <x v="7"/>
    <n v="2008"/>
    <n v="1"/>
    <n v="9"/>
    <n v="5"/>
    <m/>
    <n v="1461.56"/>
    <n v="1295.98"/>
    <x v="0"/>
    <n v="18"/>
    <x v="0"/>
    <x v="0"/>
    <n v="14"/>
    <n v="4"/>
  </r>
  <r>
    <x v="5"/>
    <s v="Big OH TD's"/>
    <x v="4"/>
    <n v="2001"/>
    <n v="2"/>
    <n v="9"/>
    <n v="5"/>
    <m/>
    <n v="1397.44"/>
    <n v="1339.66"/>
    <x v="0"/>
    <n v="28"/>
    <x v="1"/>
    <x v="0"/>
    <n v="14"/>
    <n v="6"/>
  </r>
  <r>
    <x v="5"/>
    <s v="Living Tha Dream"/>
    <x v="10"/>
    <n v="2002"/>
    <n v="3"/>
    <n v="9"/>
    <n v="5"/>
    <m/>
    <n v="1455.04"/>
    <n v="1364.3"/>
    <x v="0"/>
    <n v="25"/>
    <x v="1"/>
    <x v="0"/>
    <n v="14"/>
    <n v="8"/>
  </r>
  <r>
    <x v="5"/>
    <s v="ShooKC ones"/>
    <x v="9"/>
    <n v="2001"/>
    <n v="4"/>
    <n v="10"/>
    <n v="4"/>
    <m/>
    <n v="1444.1"/>
    <n v="1345.46"/>
    <x v="0"/>
    <n v="40"/>
    <x v="1"/>
    <x v="1"/>
    <n v="14"/>
    <n v="10"/>
  </r>
  <r>
    <x v="5"/>
    <s v="Gotham Rogues"/>
    <x v="1"/>
    <n v="2012"/>
    <n v="5"/>
    <n v="8"/>
    <n v="6"/>
    <m/>
    <n v="1441.06"/>
    <n v="1417.6"/>
    <x v="0"/>
    <n v="15"/>
    <x v="1"/>
    <x v="1"/>
    <n v="14"/>
    <n v="7"/>
  </r>
  <r>
    <x v="5"/>
    <s v="Yesy's Yams"/>
    <x v="5"/>
    <n v="2014"/>
    <n v="6"/>
    <n v="7"/>
    <n v="7"/>
    <m/>
    <n v="1487.08"/>
    <n v="1490.26"/>
    <x v="0"/>
    <n v="49"/>
    <x v="1"/>
    <x v="1"/>
    <n v="14"/>
    <n v="11"/>
  </r>
  <r>
    <x v="5"/>
    <s v="Ron Rivera's Nutz"/>
    <x v="11"/>
    <n v="2008"/>
    <n v="7"/>
    <n v="6"/>
    <n v="8"/>
    <m/>
    <n v="1300.1400000000001"/>
    <n v="1332.2"/>
    <x v="1"/>
    <n v="55"/>
    <x v="1"/>
    <x v="1"/>
    <n v="14"/>
    <n v="12"/>
  </r>
  <r>
    <x v="5"/>
    <s v="Kupp My Chubby Dak"/>
    <x v="2"/>
    <n v="2001"/>
    <n v="8"/>
    <n v="7"/>
    <n v="7"/>
    <m/>
    <n v="1428.2"/>
    <n v="1416.92"/>
    <x v="1"/>
    <n v="41"/>
    <x v="1"/>
    <x v="1"/>
    <n v="14"/>
    <n v="9"/>
  </r>
  <r>
    <x v="5"/>
    <s v="Mr. McGibblets"/>
    <x v="0"/>
    <n v="2003"/>
    <n v="9"/>
    <n v="5"/>
    <n v="9"/>
    <m/>
    <n v="1258.6600000000001"/>
    <n v="1324.56"/>
    <x v="1"/>
    <n v="26"/>
    <x v="1"/>
    <x v="1"/>
    <n v="14"/>
    <n v="2"/>
  </r>
  <r>
    <x v="5"/>
    <s v="Moron Dogs"/>
    <x v="3"/>
    <n v="2003"/>
    <n v="10"/>
    <n v="6"/>
    <n v="8"/>
    <m/>
    <n v="1195.2"/>
    <n v="1205.6400000000001"/>
    <x v="1"/>
    <n v="10"/>
    <x v="1"/>
    <x v="1"/>
    <n v="14"/>
    <n v="5"/>
  </r>
  <r>
    <x v="5"/>
    <s v="Omar's 12-gauge"/>
    <x v="8"/>
    <n v="2003"/>
    <n v="11"/>
    <n v="4"/>
    <n v="10"/>
    <m/>
    <n v="1260.22"/>
    <n v="1470.58"/>
    <x v="1"/>
    <n v="3"/>
    <x v="1"/>
    <x v="1"/>
    <n v="14"/>
    <n v="3"/>
  </r>
  <r>
    <x v="5"/>
    <s v="Unsolicited Dak Pics"/>
    <x v="6"/>
    <n v="2002"/>
    <n v="12"/>
    <n v="4"/>
    <n v="10"/>
    <m/>
    <n v="1293.74"/>
    <n v="1419.28"/>
    <x v="1"/>
    <n v="34"/>
    <x v="1"/>
    <x v="1"/>
    <n v="14"/>
    <n v="1"/>
  </r>
  <r>
    <x v="6"/>
    <s v="Living Tha Dream"/>
    <x v="10"/>
    <n v="2002"/>
    <n v="1"/>
    <n v="9"/>
    <n v="5"/>
    <m/>
    <n v="1393.1"/>
    <n v="1423.26"/>
    <x v="0"/>
    <n v="20"/>
    <x v="0"/>
    <x v="0"/>
    <n v="14"/>
    <n v="2"/>
  </r>
  <r>
    <x v="6"/>
    <s v="Gotham Rogues"/>
    <x v="1"/>
    <n v="2012"/>
    <n v="2"/>
    <n v="7"/>
    <n v="7"/>
    <m/>
    <n v="1305.3800000000001"/>
    <n v="1340.74"/>
    <x v="0"/>
    <n v="16"/>
    <x v="1"/>
    <x v="0"/>
    <n v="14"/>
    <n v="7"/>
  </r>
  <r>
    <x v="6"/>
    <s v="ShooKC ones"/>
    <x v="9"/>
    <n v="2001"/>
    <n v="3"/>
    <n v="7"/>
    <n v="7"/>
    <m/>
    <n v="1386.5"/>
    <n v="1373.08"/>
    <x v="0"/>
    <n v="33"/>
    <x v="1"/>
    <x v="0"/>
    <n v="14"/>
    <n v="5"/>
  </r>
  <r>
    <x v="6"/>
    <s v="Racks n Backs"/>
    <x v="7"/>
    <n v="2008"/>
    <n v="4"/>
    <n v="10"/>
    <n v="4"/>
    <m/>
    <n v="1349.04"/>
    <n v="1162.68"/>
    <x v="0"/>
    <n v="16"/>
    <x v="1"/>
    <x v="1"/>
    <n v="14"/>
    <n v="11"/>
  </r>
  <r>
    <x v="6"/>
    <s v="Unsolicited Dak Pics"/>
    <x v="6"/>
    <n v="2002"/>
    <n v="5"/>
    <n v="9"/>
    <n v="5"/>
    <m/>
    <n v="1335.06"/>
    <n v="1308.3"/>
    <x v="0"/>
    <n v="14"/>
    <x v="1"/>
    <x v="1"/>
    <n v="14"/>
    <n v="9"/>
  </r>
  <r>
    <x v="6"/>
    <s v="Mr. McGibblets"/>
    <x v="0"/>
    <n v="2003"/>
    <n v="6"/>
    <n v="8"/>
    <n v="6"/>
    <m/>
    <n v="1408.16"/>
    <n v="1357.92"/>
    <x v="0"/>
    <n v="14"/>
    <x v="1"/>
    <x v="1"/>
    <n v="14"/>
    <n v="3"/>
  </r>
  <r>
    <x v="6"/>
    <s v="Logan's Lemons"/>
    <x v="5"/>
    <n v="2014"/>
    <n v="7"/>
    <n v="6"/>
    <n v="8"/>
    <m/>
    <n v="1325.98"/>
    <n v="1401.18"/>
    <x v="1"/>
    <n v="65"/>
    <x v="1"/>
    <x v="1"/>
    <n v="14"/>
    <n v="1"/>
  </r>
  <r>
    <x v="6"/>
    <s v="Schlobowl bound"/>
    <x v="2"/>
    <n v="2001"/>
    <n v="8"/>
    <n v="5"/>
    <n v="9"/>
    <m/>
    <n v="1409.36"/>
    <n v="1394.84"/>
    <x v="1"/>
    <n v="58"/>
    <x v="1"/>
    <x v="1"/>
    <n v="14"/>
    <n v="6"/>
  </r>
  <r>
    <x v="6"/>
    <s v="Moron Dogs"/>
    <x v="3"/>
    <n v="2003"/>
    <n v="9"/>
    <n v="6"/>
    <n v="8"/>
    <m/>
    <n v="1431.08"/>
    <n v="1407.74"/>
    <x v="1"/>
    <n v="11"/>
    <x v="1"/>
    <x v="1"/>
    <n v="14"/>
    <n v="4"/>
  </r>
  <r>
    <x v="6"/>
    <s v="Omar's 12-gauge"/>
    <x v="8"/>
    <n v="2003"/>
    <n v="10"/>
    <n v="6"/>
    <n v="8"/>
    <m/>
    <n v="1482.3"/>
    <n v="1481.44"/>
    <x v="1"/>
    <n v="7"/>
    <x v="1"/>
    <x v="1"/>
    <n v="14"/>
    <n v="10"/>
  </r>
  <r>
    <x v="6"/>
    <s v="BeetleGuice"/>
    <x v="11"/>
    <n v="2008"/>
    <n v="11"/>
    <n v="6"/>
    <n v="8"/>
    <m/>
    <n v="1303.74"/>
    <n v="1348.08"/>
    <x v="1"/>
    <n v="49"/>
    <x v="1"/>
    <x v="1"/>
    <n v="14"/>
    <n v="8"/>
  </r>
  <r>
    <x v="6"/>
    <s v="Big OH TD's"/>
    <x v="4"/>
    <n v="2001"/>
    <n v="12"/>
    <n v="5"/>
    <n v="9"/>
    <m/>
    <n v="1246.2"/>
    <n v="1376.64"/>
    <x v="1"/>
    <n v="27"/>
    <x v="1"/>
    <x v="1"/>
    <n v="14"/>
    <n v="12"/>
  </r>
  <r>
    <x v="7"/>
    <s v="Taking a Knee us"/>
    <x v="5"/>
    <n v="2014"/>
    <n v="1"/>
    <n v="10"/>
    <n v="4"/>
    <m/>
    <n v="1444.2"/>
    <n v="1343.1"/>
    <x v="0"/>
    <n v="85"/>
    <x v="0"/>
    <x v="0"/>
    <n v="14"/>
    <n v="2"/>
  </r>
  <r>
    <x v="7"/>
    <s v="Racks n Backs"/>
    <x v="7"/>
    <n v="2008"/>
    <n v="2"/>
    <n v="7"/>
    <n v="7"/>
    <m/>
    <n v="1366.56"/>
    <n v="1423.26"/>
    <x v="0"/>
    <n v="22"/>
    <x v="1"/>
    <x v="0"/>
    <n v="14"/>
    <n v="4"/>
  </r>
  <r>
    <x v="7"/>
    <s v="Big OH TD's"/>
    <x v="4"/>
    <n v="2001"/>
    <n v="3"/>
    <n v="12"/>
    <n v="2"/>
    <m/>
    <n v="1614.9"/>
    <n v="1257.76"/>
    <x v="0"/>
    <n v="24"/>
    <x v="1"/>
    <x v="0"/>
    <n v="14"/>
    <n v="1"/>
  </r>
  <r>
    <x v="7"/>
    <s v="Living Tha Dream"/>
    <x v="10"/>
    <n v="2002"/>
    <n v="4"/>
    <n v="8"/>
    <n v="6"/>
    <m/>
    <n v="1345.24"/>
    <n v="1341.64"/>
    <x v="0"/>
    <n v="22"/>
    <x v="1"/>
    <x v="1"/>
    <n v="14"/>
    <n v="7"/>
  </r>
  <r>
    <x v="7"/>
    <s v="ShooKC ones"/>
    <x v="9"/>
    <n v="2001"/>
    <n v="5"/>
    <n v="9"/>
    <n v="5"/>
    <m/>
    <n v="1626.34"/>
    <n v="1404.16"/>
    <x v="0"/>
    <n v="20"/>
    <x v="1"/>
    <x v="1"/>
    <n v="14"/>
    <n v="8"/>
  </r>
  <r>
    <x v="7"/>
    <s v="Grab'em by the Percy"/>
    <x v="6"/>
    <n v="2002"/>
    <n v="6"/>
    <n v="7"/>
    <n v="7"/>
    <m/>
    <n v="1458.8"/>
    <n v="1439.82"/>
    <x v="0"/>
    <n v="21"/>
    <x v="1"/>
    <x v="1"/>
    <n v="14"/>
    <n v="3"/>
  </r>
  <r>
    <x v="7"/>
    <s v="Schlobowl bound"/>
    <x v="2"/>
    <n v="2001"/>
    <n v="7"/>
    <n v="6"/>
    <n v="8"/>
    <m/>
    <n v="1360.66"/>
    <n v="1411.82"/>
    <x v="1"/>
    <n v="36"/>
    <x v="1"/>
    <x v="1"/>
    <n v="14"/>
    <n v="5"/>
  </r>
  <r>
    <x v="7"/>
    <s v="Mr. McGibblets"/>
    <x v="0"/>
    <n v="2003"/>
    <n v="8"/>
    <n v="4"/>
    <n v="10"/>
    <m/>
    <n v="1244.8"/>
    <n v="1400.04"/>
    <x v="1"/>
    <n v="10"/>
    <x v="1"/>
    <x v="1"/>
    <n v="14"/>
    <n v="11"/>
  </r>
  <r>
    <x v="7"/>
    <s v="Gotham Rogues"/>
    <x v="1"/>
    <n v="2012"/>
    <n v="9"/>
    <n v="5"/>
    <n v="9"/>
    <m/>
    <n v="1393.84"/>
    <n v="1402.24"/>
    <x v="1"/>
    <n v="14"/>
    <x v="1"/>
    <x v="1"/>
    <n v="14"/>
    <n v="10"/>
  </r>
  <r>
    <x v="7"/>
    <s v="Bub Rub &amp; Lil Sis"/>
    <x v="3"/>
    <n v="2003"/>
    <n v="10"/>
    <n v="6"/>
    <n v="8"/>
    <m/>
    <n v="1362.84"/>
    <n v="1384.84"/>
    <x v="1"/>
    <n v="6"/>
    <x v="1"/>
    <x v="1"/>
    <n v="14"/>
    <n v="6"/>
  </r>
  <r>
    <x v="7"/>
    <s v="Omar's 12-gauge"/>
    <x v="8"/>
    <n v="2003"/>
    <n v="11"/>
    <n v="6"/>
    <n v="8"/>
    <m/>
    <n v="1270.8800000000001"/>
    <n v="1449.98"/>
    <x v="1"/>
    <n v="21"/>
    <x v="1"/>
    <x v="1"/>
    <n v="14"/>
    <n v="12"/>
  </r>
  <r>
    <x v="7"/>
    <s v="BeetleGuice"/>
    <x v="11"/>
    <n v="2008"/>
    <n v="12"/>
    <n v="4"/>
    <n v="10"/>
    <m/>
    <n v="1355.3"/>
    <n v="1585.7"/>
    <x v="1"/>
    <n v="30"/>
    <x v="1"/>
    <x v="1"/>
    <n v="14"/>
    <n v="9"/>
  </r>
  <r>
    <x v="8"/>
    <s v="Mikaela's Meatloaf"/>
    <x v="5"/>
    <n v="2014"/>
    <n v="1"/>
    <n v="8"/>
    <n v="6"/>
    <m/>
    <n v="1320.18"/>
    <n v="1312.86"/>
    <x v="0"/>
    <n v="60"/>
    <x v="0"/>
    <x v="0"/>
    <n v="14"/>
    <n v="8"/>
  </r>
  <r>
    <x v="8"/>
    <s v="Schlobowl bound"/>
    <x v="2"/>
    <n v="2001"/>
    <n v="2"/>
    <n v="9"/>
    <n v="5"/>
    <m/>
    <n v="1326.06"/>
    <n v="1150.6400000000001"/>
    <x v="0"/>
    <n v="41"/>
    <x v="1"/>
    <x v="0"/>
    <n v="14"/>
    <n v="2"/>
  </r>
  <r>
    <x v="8"/>
    <s v="Living Tha Dream"/>
    <x v="10"/>
    <n v="2002"/>
    <n v="3"/>
    <n v="9"/>
    <n v="5"/>
    <m/>
    <n v="1423.36"/>
    <n v="1211.9000000000001"/>
    <x v="0"/>
    <n v="24"/>
    <x v="1"/>
    <x v="0"/>
    <n v="14"/>
    <n v="12"/>
  </r>
  <r>
    <x v="8"/>
    <s v="Big OH TD's"/>
    <x v="4"/>
    <n v="2001"/>
    <n v="4"/>
    <n v="10"/>
    <n v="4"/>
    <m/>
    <n v="1236.72"/>
    <n v="1229.3"/>
    <x v="0"/>
    <n v="23"/>
    <x v="1"/>
    <x v="1"/>
    <n v="14"/>
    <n v="1"/>
  </r>
  <r>
    <x v="8"/>
    <s v="Grab'em by the Percy"/>
    <x v="6"/>
    <n v="2002"/>
    <n v="5"/>
    <n v="7"/>
    <n v="7"/>
    <m/>
    <n v="1160.1600000000001"/>
    <n v="1224.46"/>
    <x v="0"/>
    <n v="39"/>
    <x v="1"/>
    <x v="1"/>
    <n v="14"/>
    <n v="4"/>
  </r>
  <r>
    <x v="8"/>
    <s v="Mr. McGibblets"/>
    <x v="0"/>
    <n v="2003"/>
    <n v="6"/>
    <n v="9"/>
    <n v="5"/>
    <m/>
    <n v="1293.28"/>
    <n v="1131.1400000000001"/>
    <x v="0"/>
    <n v="18"/>
    <x v="1"/>
    <x v="1"/>
    <n v="14"/>
    <n v="3"/>
  </r>
  <r>
    <x v="8"/>
    <s v="Kirk'sMexicanCousins"/>
    <x v="11"/>
    <n v="2008"/>
    <n v="7"/>
    <n v="5"/>
    <n v="9"/>
    <m/>
    <n v="1293.8"/>
    <n v="1363.4"/>
    <x v="1"/>
    <n v="34"/>
    <x v="1"/>
    <x v="1"/>
    <n v="14"/>
    <n v="7"/>
  </r>
  <r>
    <x v="8"/>
    <s v="Gotham Rogues"/>
    <x v="1"/>
    <n v="2012"/>
    <n v="8"/>
    <n v="5"/>
    <n v="9"/>
    <m/>
    <n v="1170.8399999999999"/>
    <n v="1241.1199999999999"/>
    <x v="1"/>
    <n v="19"/>
    <x v="1"/>
    <x v="1"/>
    <n v="14"/>
    <n v="9"/>
  </r>
  <r>
    <x v="8"/>
    <s v="Omar's 12-gauge"/>
    <x v="8"/>
    <n v="2003"/>
    <n v="10"/>
    <n v="6"/>
    <n v="8"/>
    <m/>
    <n v="1169.42"/>
    <n v="1310.7"/>
    <x v="1"/>
    <n v="6"/>
    <x v="1"/>
    <x v="1"/>
    <n v="14"/>
    <n v="5"/>
  </r>
  <r>
    <x v="8"/>
    <s v="Bub Rub &amp; Lil Sis"/>
    <x v="3"/>
    <n v="2003"/>
    <n v="11"/>
    <n v="5"/>
    <n v="9"/>
    <m/>
    <n v="1266.1199999999999"/>
    <n v="1230.82"/>
    <x v="1"/>
    <n v="8"/>
    <x v="1"/>
    <x v="1"/>
    <n v="14"/>
    <n v="6"/>
  </r>
  <r>
    <x v="8"/>
    <s v="Racks n Backs"/>
    <x v="7"/>
    <n v="2008"/>
    <n v="12"/>
    <n v="5"/>
    <n v="9"/>
    <m/>
    <n v="1114.44"/>
    <n v="1253.28"/>
    <x v="1"/>
    <n v="6"/>
    <x v="1"/>
    <x v="1"/>
    <n v="14"/>
    <n v="10"/>
  </r>
  <r>
    <x v="9"/>
    <s v="Kirk'sMexicanCousins"/>
    <x v="11"/>
    <n v="2008"/>
    <n v="1"/>
    <n v="8"/>
    <n v="6"/>
    <m/>
    <n v="1490.92"/>
    <n v="1319.24"/>
    <x v="0"/>
    <n v="29"/>
    <x v="0"/>
    <x v="0"/>
    <n v="14"/>
    <n v="12"/>
  </r>
  <r>
    <x v="9"/>
    <s v="Omar's 12-gauge"/>
    <x v="8"/>
    <n v="2003"/>
    <n v="2"/>
    <n v="12"/>
    <n v="2"/>
    <m/>
    <n v="1464.26"/>
    <n v="1198.68"/>
    <x v="0"/>
    <n v="12"/>
    <x v="1"/>
    <x v="0"/>
    <n v="14"/>
    <n v="1"/>
  </r>
  <r>
    <x v="9"/>
    <s v="Mikaela's Meatloaf"/>
    <x v="5"/>
    <n v="2014"/>
    <n v="3"/>
    <n v="7"/>
    <n v="7"/>
    <m/>
    <n v="1283.02"/>
    <n v="1340.62"/>
    <x v="0"/>
    <n v="29"/>
    <x v="1"/>
    <x v="0"/>
    <n v="14"/>
    <n v="8"/>
  </r>
  <r>
    <x v="9"/>
    <s v="Bub Rub &amp; Lil Sis"/>
    <x v="3"/>
    <n v="2003"/>
    <n v="4"/>
    <n v="11"/>
    <n v="3"/>
    <m/>
    <n v="1515.56"/>
    <n v="1277.68"/>
    <x v="0"/>
    <n v="4"/>
    <x v="1"/>
    <x v="1"/>
    <n v="14"/>
    <n v="5"/>
  </r>
  <r>
    <x v="9"/>
    <s v="Tyrod Tinker - Bells"/>
    <x v="2"/>
    <n v="2001"/>
    <n v="5"/>
    <n v="9"/>
    <n v="5"/>
    <m/>
    <n v="1377.74"/>
    <n v="1318.82"/>
    <x v="0"/>
    <n v="26"/>
    <x v="1"/>
    <x v="1"/>
    <n v="14"/>
    <n v="3"/>
  </r>
  <r>
    <x v="9"/>
    <s v="Mr. McGibblets"/>
    <x v="0"/>
    <n v="2003"/>
    <n v="6"/>
    <n v="8"/>
    <n v="6"/>
    <m/>
    <n v="1312.16"/>
    <n v="1373.4"/>
    <x v="0"/>
    <n v="13"/>
    <x v="1"/>
    <x v="1"/>
    <n v="14"/>
    <n v="4"/>
  </r>
  <r>
    <x v="9"/>
    <s v="Gotham Rogues"/>
    <x v="1"/>
    <n v="2012"/>
    <n v="7"/>
    <n v="5"/>
    <n v="9"/>
    <m/>
    <n v="1300.76"/>
    <n v="1261.68"/>
    <x v="1"/>
    <n v="26"/>
    <x v="1"/>
    <x v="1"/>
    <n v="14"/>
    <n v="6"/>
  </r>
  <r>
    <x v="9"/>
    <s v="Living Tha Dream"/>
    <x v="10"/>
    <n v="2002"/>
    <n v="8"/>
    <n v="4"/>
    <n v="10"/>
    <m/>
    <n v="1213.06"/>
    <n v="1371.88"/>
    <x v="1"/>
    <n v="17"/>
    <x v="1"/>
    <x v="1"/>
    <n v="14"/>
    <n v="2"/>
  </r>
  <r>
    <x v="9"/>
    <s v="FREE AARON HERNANDEZ"/>
    <x v="6"/>
    <n v="2002"/>
    <n v="9"/>
    <n v="4"/>
    <n v="10"/>
    <m/>
    <n v="1245.8"/>
    <n v="1440.78"/>
    <x v="1"/>
    <n v="12"/>
    <x v="1"/>
    <x v="1"/>
    <n v="14"/>
    <n v="9"/>
  </r>
  <r>
    <x v="9"/>
    <s v="Big OH TD's"/>
    <x v="4"/>
    <n v="2001"/>
    <n v="11"/>
    <n v="5"/>
    <n v="9"/>
    <m/>
    <n v="1293.44"/>
    <n v="1320.64"/>
    <x v="1"/>
    <n v="16"/>
    <x v="1"/>
    <x v="1"/>
    <n v="14"/>
    <n v="11"/>
  </r>
  <r>
    <x v="9"/>
    <s v="Racks n Backs"/>
    <x v="7"/>
    <n v="2008"/>
    <n v="12"/>
    <n v="5"/>
    <n v="9"/>
    <m/>
    <n v="1224.02"/>
    <n v="1423.88"/>
    <x v="1"/>
    <n v="8"/>
    <x v="1"/>
    <x v="1"/>
    <n v="14"/>
    <n v="7"/>
  </r>
  <r>
    <x v="10"/>
    <s v="FREE AARON HERNANDEZ"/>
    <x v="6"/>
    <n v="2002"/>
    <n v="1"/>
    <n v="8"/>
    <n v="6"/>
    <m/>
    <n v="1408.22"/>
    <n v="1359.3"/>
    <x v="0"/>
    <n v="32"/>
    <x v="0"/>
    <x v="0"/>
    <n v="14"/>
    <n v="6"/>
  </r>
  <r>
    <x v="10"/>
    <s v="Art Monkies #chiaRIP"/>
    <x v="11"/>
    <n v="2008"/>
    <n v="2"/>
    <n v="8"/>
    <n v="6"/>
    <m/>
    <n v="1368.58"/>
    <n v="1331.5"/>
    <x v="0"/>
    <n v="32"/>
    <x v="1"/>
    <x v="0"/>
    <n v="14"/>
    <n v="13"/>
  </r>
  <r>
    <x v="10"/>
    <s v="Gotham Rogues"/>
    <x v="1"/>
    <n v="2012"/>
    <n v="3"/>
    <n v="9"/>
    <n v="5"/>
    <m/>
    <n v="1404.12"/>
    <n v="1197.8399999999999"/>
    <x v="0"/>
    <n v="22"/>
    <x v="1"/>
    <x v="0"/>
    <n v="14"/>
    <n v="10"/>
  </r>
  <r>
    <x v="10"/>
    <s v="Big OH TD's"/>
    <x v="4"/>
    <n v="2001"/>
    <n v="4"/>
    <n v="10"/>
    <n v="4"/>
    <m/>
    <n v="1429.64"/>
    <n v="1247.0999999999999"/>
    <x v="0"/>
    <n v="17"/>
    <x v="1"/>
    <x v="1"/>
    <n v="14"/>
    <n v="4"/>
  </r>
  <r>
    <x v="10"/>
    <s v="WackAssCommish"/>
    <x v="0"/>
    <n v="2003"/>
    <n v="5"/>
    <n v="8"/>
    <n v="6"/>
    <m/>
    <n v="1224.68"/>
    <n v="1083.3"/>
    <x v="0"/>
    <n v="41"/>
    <x v="1"/>
    <x v="1"/>
    <n v="14"/>
    <n v="7"/>
  </r>
  <r>
    <x v="10"/>
    <s v="Racks n Backs"/>
    <x v="7"/>
    <n v="2008"/>
    <n v="6"/>
    <n v="8"/>
    <n v="6"/>
    <m/>
    <n v="1302.8"/>
    <n v="1252.5"/>
    <x v="0"/>
    <n v="10"/>
    <x v="1"/>
    <x v="1"/>
    <n v="14"/>
    <n v="8"/>
  </r>
  <r>
    <x v="10"/>
    <s v="Repeat Offender"/>
    <x v="2"/>
    <n v="2001"/>
    <n v="7"/>
    <n v="7"/>
    <n v="7"/>
    <m/>
    <n v="1386.84"/>
    <n v="1301.3599999999999"/>
    <x v="1"/>
    <n v="36"/>
    <x v="1"/>
    <x v="1"/>
    <n v="14"/>
    <n v="14"/>
  </r>
  <r>
    <x v="10"/>
    <s v="Bub Rub &amp; Lil Sis"/>
    <x v="3"/>
    <n v="2003"/>
    <n v="8"/>
    <n v="6"/>
    <n v="8"/>
    <m/>
    <n v="1214.06"/>
    <n v="1296.3599999999999"/>
    <x v="1"/>
    <n v="7"/>
    <x v="1"/>
    <x v="1"/>
    <n v="14"/>
    <n v="3"/>
  </r>
  <r>
    <x v="10"/>
    <s v="7-11 Bums"/>
    <x v="5"/>
    <n v="2014"/>
    <n v="9"/>
    <n v="8"/>
    <n v="6"/>
    <m/>
    <n v="1176.08"/>
    <n v="1220.18"/>
    <x v="1"/>
    <n v="37"/>
    <x v="1"/>
    <x v="1"/>
    <n v="14"/>
    <n v="9"/>
  </r>
  <r>
    <x v="10"/>
    <s v="The Stanghorns"/>
    <x v="9"/>
    <n v="2001"/>
    <n v="10"/>
    <n v="8"/>
    <n v="6"/>
    <m/>
    <n v="1190.08"/>
    <n v="1308.28"/>
    <x v="1"/>
    <n v="21"/>
    <x v="1"/>
    <x v="1"/>
    <n v="14"/>
    <n v="5"/>
  </r>
  <r>
    <x v="10"/>
    <s v="Omar's 12-gauge"/>
    <x v="8"/>
    <n v="2003"/>
    <n v="11"/>
    <n v="5"/>
    <n v="9"/>
    <m/>
    <n v="1231.26"/>
    <n v="1257.6199999999999"/>
    <x v="1"/>
    <n v="13"/>
    <x v="1"/>
    <x v="1"/>
    <n v="14"/>
    <n v="12"/>
  </r>
  <r>
    <x v="10"/>
    <s v="PlayingUnderProtest"/>
    <x v="10"/>
    <n v="2002"/>
    <n v="13"/>
    <n v="4"/>
    <n v="10"/>
    <m/>
    <n v="1153.1199999999999"/>
    <n v="1329.06"/>
    <x v="1"/>
    <n v="16"/>
    <x v="1"/>
    <x v="1"/>
    <n v="14"/>
    <n v="1"/>
  </r>
  <r>
    <x v="11"/>
    <s v="droppin deuces"/>
    <x v="2"/>
    <n v="2001"/>
    <n v="1"/>
    <n v="9"/>
    <n v="5"/>
    <m/>
    <n v="1391.26"/>
    <n v="1352.64"/>
    <x v="0"/>
    <n v="39"/>
    <x v="0"/>
    <x v="0"/>
    <n v="14"/>
    <n v="8"/>
  </r>
  <r>
    <x v="11"/>
    <s v="The Stanghorns"/>
    <x v="9"/>
    <n v="2001"/>
    <n v="2"/>
    <n v="9"/>
    <n v="5"/>
    <m/>
    <n v="1500.58"/>
    <n v="1250.46"/>
    <x v="0"/>
    <n v="26"/>
    <x v="1"/>
    <x v="0"/>
    <n v="14"/>
    <n v="3"/>
  </r>
  <r>
    <x v="11"/>
    <s v="ODPRadio.com"/>
    <x v="10"/>
    <n v="2002"/>
    <n v="3"/>
    <n v="12"/>
    <n v="2"/>
    <m/>
    <n v="1416.82"/>
    <n v="1164.44"/>
    <x v="0"/>
    <n v="6"/>
    <x v="1"/>
    <x v="0"/>
    <n v="14"/>
    <n v="7"/>
  </r>
  <r>
    <x v="11"/>
    <s v="Gotham Rogues"/>
    <x v="1"/>
    <n v="2012"/>
    <n v="4"/>
    <n v="10"/>
    <n v="4"/>
    <m/>
    <n v="1465.44"/>
    <n v="1316"/>
    <x v="0"/>
    <n v="34"/>
    <x v="1"/>
    <x v="1"/>
    <n v="14"/>
    <n v="13"/>
  </r>
  <r>
    <x v="11"/>
    <s v="Racks n Backs"/>
    <x v="7"/>
    <n v="2008"/>
    <n v="5"/>
    <n v="8"/>
    <n v="6"/>
    <m/>
    <n v="1369.9"/>
    <n v="1242.3"/>
    <x v="0"/>
    <n v="18"/>
    <x v="1"/>
    <x v="1"/>
    <n v="14"/>
    <n v="1"/>
  </r>
  <r>
    <x v="11"/>
    <s v="WackAssCommish"/>
    <x v="0"/>
    <n v="2003"/>
    <n v="6"/>
    <n v="9"/>
    <n v="5"/>
    <m/>
    <n v="1413.1"/>
    <n v="1353.6"/>
    <x v="0"/>
    <n v="34"/>
    <x v="1"/>
    <x v="1"/>
    <n v="14"/>
    <n v="6"/>
  </r>
  <r>
    <x v="11"/>
    <s v="Hood Rat Hunters"/>
    <x v="5"/>
    <n v="2014"/>
    <n v="7"/>
    <n v="7"/>
    <n v="7"/>
    <m/>
    <n v="1214.3"/>
    <n v="1267.74"/>
    <x v="1"/>
    <n v="24"/>
    <x v="1"/>
    <x v="1"/>
    <n v="14"/>
    <n v="2"/>
  </r>
  <r>
    <x v="11"/>
    <s v="Art Monkies #chicos"/>
    <x v="11"/>
    <n v="2008"/>
    <n v="8"/>
    <n v="5"/>
    <n v="9"/>
    <m/>
    <n v="1302.04"/>
    <n v="1432.88"/>
    <x v="1"/>
    <n v="54"/>
    <x v="1"/>
    <x v="1"/>
    <n v="14"/>
    <n v="5"/>
  </r>
  <r>
    <x v="11"/>
    <s v="Bub Rub &amp; Lil Sis"/>
    <x v="3"/>
    <n v="2003"/>
    <n v="10"/>
    <n v="6"/>
    <n v="8"/>
    <m/>
    <n v="1359.34"/>
    <n v="1341.64"/>
    <x v="1"/>
    <n v="12"/>
    <x v="1"/>
    <x v="1"/>
    <n v="14"/>
    <n v="4"/>
  </r>
  <r>
    <x v="11"/>
    <s v="Omar's 12-gauge"/>
    <x v="8"/>
    <n v="2003"/>
    <n v="11"/>
    <n v="5"/>
    <n v="9"/>
    <m/>
    <n v="1227.3"/>
    <n v="1239.42"/>
    <x v="1"/>
    <n v="15"/>
    <x v="1"/>
    <x v="1"/>
    <n v="14"/>
    <n v="11"/>
  </r>
  <r>
    <x v="11"/>
    <s v="FREE AARON HERNANDEZ"/>
    <x v="6"/>
    <n v="2002"/>
    <n v="12"/>
    <n v="5"/>
    <n v="9"/>
    <m/>
    <n v="1134.94"/>
    <n v="1201.8399999999999"/>
    <x v="1"/>
    <n v="15"/>
    <x v="1"/>
    <x v="1"/>
    <n v="14"/>
    <n v="10"/>
  </r>
  <r>
    <x v="11"/>
    <s v="Big OH TD's"/>
    <x v="4"/>
    <n v="2001"/>
    <n v="14"/>
    <n v="3"/>
    <n v="11"/>
    <m/>
    <n v="1157.52"/>
    <n v="1470.48"/>
    <x v="1"/>
    <n v="14"/>
    <x v="1"/>
    <x v="1"/>
    <n v="14"/>
    <n v="12"/>
  </r>
  <r>
    <x v="12"/>
    <m/>
    <x v="12"/>
    <m/>
    <m/>
    <m/>
    <m/>
    <m/>
    <m/>
    <m/>
    <x v="2"/>
    <m/>
    <x v="2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D2793-92F4-4BF9-B07C-99BFEA4149B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K19" firstHeaderRow="1" firstDataRow="2" firstDataCol="1"/>
  <pivotFields count="16">
    <pivotField axis="axisCol" multipleItemSelectionAllowed="1" showAll="0">
      <items count="14">
        <item h="1" x="11"/>
        <item h="1" x="10"/>
        <item h="1" x="9"/>
        <item h="1" x="8"/>
        <item x="7"/>
        <item x="6"/>
        <item x="5"/>
        <item x="4"/>
        <item x="3"/>
        <item x="2"/>
        <item x="1"/>
        <item x="0"/>
        <item x="12"/>
        <item t="default"/>
      </items>
    </pivotField>
    <pivotField showAll="0"/>
    <pivotField axis="axisRow" showAll="0">
      <items count="14">
        <item x="4"/>
        <item x="3"/>
        <item x="9"/>
        <item x="1"/>
        <item x="10"/>
        <item x="6"/>
        <item x="5"/>
        <item x="2"/>
        <item x="8"/>
        <item x="0"/>
        <item x="11"/>
        <item x="7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Points Fo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209CF-C78A-4433-A7A2-C813ECC883E4}" name="Table1" displayName="Table1" ref="A3:P6" totalsRowShown="0">
  <autoFilter ref="A3:P6" xr:uid="{DCE209CF-C78A-4433-A7A2-C813ECC883E4}"/>
  <tableColumns count="16">
    <tableColumn id="1" xr3:uid="{8D31A73D-F5FE-4A5D-98AC-EF171F5C0F84}" name="Season"/>
    <tableColumn id="2" xr3:uid="{1805D82B-E607-44BD-AC5A-941BD8DD578A}" name="Team Name"/>
    <tableColumn id="3" xr3:uid="{6A1F930F-A328-4D54-A98B-CE915EDDCB01}" name="Owner"/>
    <tableColumn id="4" xr3:uid="{FD0D7888-D9A1-4C57-985E-01F67474662B}" name="Since Year"/>
    <tableColumn id="5" xr3:uid="{F594119E-73F2-4384-95AE-C83AFF3361D4}" name="Final Rank"/>
    <tableColumn id="6" xr3:uid="{2CA8688D-68FE-4439-BFE3-63FB21EE5F4B}" name="Wins"/>
    <tableColumn id="7" xr3:uid="{2A2EBFDF-FFC1-415F-8ACF-EA6BD432A342}" name="Losses"/>
    <tableColumn id="8" xr3:uid="{F8027DC7-5AF4-4A27-88C8-DE3963A9B564}" name="Ties"/>
    <tableColumn id="9" xr3:uid="{C22D91FC-ABB2-42F0-B6AA-EFE58933BFB9}" name="Points For"/>
    <tableColumn id="10" xr3:uid="{74EF8131-9487-47D1-86E6-982D73816928}" name="Points Against"/>
    <tableColumn id="11" xr3:uid="{7E56880F-F8C4-4673-9805-956ED07C2902}" name="Made Playoffs"/>
    <tableColumn id="12" xr3:uid="{04809007-61FE-45B2-BF4F-DCE261F1F67D}" name="Moves"/>
    <tableColumn id="13" xr3:uid="{5D59620C-4B25-4169-A8AE-CEC8DCF8876D}" name="champion"/>
    <tableColumn id="14" xr3:uid="{E4898BF8-42C5-4FF2-BD07-F961B7FDC9E9}" name="podium"/>
    <tableColumn id="15" xr3:uid="{1F2442AE-7BDA-4295-8908-A9FC67366FD4}" name="Games"/>
    <tableColumn id="16" xr3:uid="{B589C660-38F5-4BB1-86B9-F6FFD182604B}" name="Draft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AF9E-9C26-4598-9C88-559F544AD819}">
  <dimension ref="A1:P6"/>
  <sheetViews>
    <sheetView workbookViewId="0">
      <selection activeCell="A3" sqref="A3:P6"/>
    </sheetView>
  </sheetViews>
  <sheetFormatPr defaultRowHeight="15" x14ac:dyDescent="0.25"/>
  <cols>
    <col min="1" max="1" width="9.85546875" bestFit="1" customWidth="1"/>
    <col min="2" max="2" width="14.28515625" bestFit="1" customWidth="1"/>
    <col min="3" max="3" width="9.28515625" bestFit="1" customWidth="1"/>
    <col min="4" max="4" width="12.7109375" bestFit="1" customWidth="1"/>
    <col min="5" max="5" width="12.42578125" bestFit="1" customWidth="1"/>
    <col min="6" max="6" width="9.28515625" bestFit="1" customWidth="1"/>
    <col min="7" max="7" width="9.5703125" bestFit="1" customWidth="1"/>
    <col min="8" max="8" width="9.28515625" bestFit="1" customWidth="1"/>
    <col min="9" max="9" width="12.28515625" bestFit="1" customWidth="1"/>
    <col min="10" max="10" width="16.140625" bestFit="1" customWidth="1"/>
    <col min="11" max="11" width="16" bestFit="1" customWidth="1"/>
    <col min="12" max="12" width="9.28515625" bestFit="1" customWidth="1"/>
    <col min="13" max="13" width="12.140625" bestFit="1" customWidth="1"/>
    <col min="14" max="14" width="10.140625" bestFit="1" customWidth="1"/>
    <col min="15" max="15" width="9.5703125" bestFit="1" customWidth="1"/>
    <col min="16" max="16" width="13.42578125" bestFit="1" customWidth="1"/>
  </cols>
  <sheetData>
    <row r="1" spans="1:16" x14ac:dyDescent="0.25">
      <c r="A1" s="6" t="s">
        <v>86</v>
      </c>
    </row>
    <row r="3" spans="1:1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74</v>
      </c>
      <c r="M3" t="s">
        <v>77</v>
      </c>
      <c r="N3" t="s">
        <v>78</v>
      </c>
      <c r="O3" t="s">
        <v>79</v>
      </c>
      <c r="P3" t="s">
        <v>80</v>
      </c>
    </row>
    <row r="4" spans="1:16" x14ac:dyDescent="0.25">
      <c r="A4">
        <v>2025</v>
      </c>
      <c r="B4" t="s">
        <v>23</v>
      </c>
      <c r="C4" t="s">
        <v>0</v>
      </c>
      <c r="D4">
        <v>2003</v>
      </c>
      <c r="E4">
        <v>1</v>
      </c>
      <c r="F4">
        <v>12</v>
      </c>
      <c r="G4">
        <v>2</v>
      </c>
      <c r="H4">
        <v>0</v>
      </c>
      <c r="I4">
        <v>2049.3000000000002</v>
      </c>
      <c r="J4">
        <v>1543.86</v>
      </c>
      <c r="K4" t="s">
        <v>75</v>
      </c>
      <c r="L4">
        <v>8</v>
      </c>
      <c r="M4" t="s">
        <v>75</v>
      </c>
      <c r="N4" t="s">
        <v>75</v>
      </c>
      <c r="O4">
        <v>14</v>
      </c>
      <c r="P4">
        <v>5</v>
      </c>
    </row>
    <row r="5" spans="1:16" x14ac:dyDescent="0.25">
      <c r="A5">
        <v>2021</v>
      </c>
      <c r="B5" t="s">
        <v>34</v>
      </c>
      <c r="C5" t="s">
        <v>0</v>
      </c>
      <c r="D5">
        <v>2003</v>
      </c>
      <c r="E5">
        <v>3</v>
      </c>
      <c r="F5">
        <v>9</v>
      </c>
      <c r="G5">
        <v>5</v>
      </c>
      <c r="H5">
        <v>0</v>
      </c>
      <c r="I5">
        <v>1875.24</v>
      </c>
      <c r="J5">
        <v>1811.7</v>
      </c>
      <c r="K5" t="s">
        <v>75</v>
      </c>
      <c r="L5">
        <v>26</v>
      </c>
      <c r="M5" t="s">
        <v>76</v>
      </c>
      <c r="N5" t="s">
        <v>75</v>
      </c>
      <c r="O5">
        <v>14</v>
      </c>
      <c r="P5">
        <v>9</v>
      </c>
    </row>
    <row r="6" spans="1:16" x14ac:dyDescent="0.25">
      <c r="A6">
        <v>2024</v>
      </c>
      <c r="B6" t="s">
        <v>23</v>
      </c>
      <c r="C6" t="s">
        <v>0</v>
      </c>
      <c r="D6">
        <v>2003</v>
      </c>
      <c r="E6">
        <v>3</v>
      </c>
      <c r="F6">
        <v>10</v>
      </c>
      <c r="G6">
        <v>4</v>
      </c>
      <c r="H6">
        <v>0</v>
      </c>
      <c r="I6">
        <v>1758.02</v>
      </c>
      <c r="J6">
        <v>1689</v>
      </c>
      <c r="K6" t="s">
        <v>75</v>
      </c>
      <c r="L6">
        <v>20</v>
      </c>
      <c r="M6" t="s">
        <v>76</v>
      </c>
      <c r="N6" t="s">
        <v>75</v>
      </c>
      <c r="O6">
        <v>14</v>
      </c>
      <c r="P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D19F-0F94-43DF-AC91-AB15AA333204}">
  <dimension ref="A4:K19"/>
  <sheetViews>
    <sheetView tabSelected="1" workbookViewId="0">
      <selection activeCell="B15" sqref="B15:I15"/>
    </sheetView>
  </sheetViews>
  <sheetFormatPr defaultRowHeight="15" x14ac:dyDescent="0.25"/>
  <cols>
    <col min="1" max="2" width="16.85546875" bestFit="1" customWidth="1"/>
    <col min="3" max="3" width="8" bestFit="1" customWidth="1"/>
    <col min="4" max="4" width="9" bestFit="1" customWidth="1"/>
    <col min="5" max="5" width="8" bestFit="1" customWidth="1"/>
    <col min="6" max="9" width="9" bestFit="1" customWidth="1"/>
    <col min="10" max="10" width="7.28515625" bestFit="1" customWidth="1"/>
    <col min="11" max="11" width="11.28515625" bestFit="1" customWidth="1"/>
    <col min="12" max="12" width="12.28515625" bestFit="1" customWidth="1"/>
    <col min="13" max="13" width="16.85546875" bestFit="1" customWidth="1"/>
    <col min="14" max="14" width="12.28515625" bestFit="1" customWidth="1"/>
    <col min="15" max="15" width="16.85546875" bestFit="1" customWidth="1"/>
    <col min="16" max="16" width="12.28515625" bestFit="1" customWidth="1"/>
    <col min="17" max="17" width="16.85546875" bestFit="1" customWidth="1"/>
    <col min="18" max="18" width="12.28515625" bestFit="1" customWidth="1"/>
    <col min="19" max="19" width="16.85546875" bestFit="1" customWidth="1"/>
    <col min="20" max="20" width="17.42578125" bestFit="1" customWidth="1"/>
    <col min="21" max="21" width="22" bestFit="1" customWidth="1"/>
    <col min="22" max="26" width="16.85546875" bestFit="1" customWidth="1"/>
    <col min="27" max="27" width="20.28515625" bestFit="1" customWidth="1"/>
    <col min="28" max="29" width="17.42578125" bestFit="1" customWidth="1"/>
  </cols>
  <sheetData>
    <row r="4" spans="1:11" x14ac:dyDescent="0.25">
      <c r="A4" s="3" t="s">
        <v>84</v>
      </c>
      <c r="B4" s="3" t="s">
        <v>85</v>
      </c>
    </row>
    <row r="5" spans="1:11" x14ac:dyDescent="0.25">
      <c r="A5" s="3" t="s">
        <v>81</v>
      </c>
      <c r="B5">
        <v>2018</v>
      </c>
      <c r="C5">
        <v>2019</v>
      </c>
      <c r="D5">
        <v>2020</v>
      </c>
      <c r="E5">
        <v>2021</v>
      </c>
      <c r="F5">
        <v>2022</v>
      </c>
      <c r="G5">
        <v>2023</v>
      </c>
      <c r="H5">
        <v>2024</v>
      </c>
      <c r="I5">
        <v>2025</v>
      </c>
      <c r="J5" t="s">
        <v>82</v>
      </c>
      <c r="K5" t="s">
        <v>83</v>
      </c>
    </row>
    <row r="6" spans="1:11" x14ac:dyDescent="0.25">
      <c r="A6" s="4" t="s">
        <v>4</v>
      </c>
      <c r="B6" s="5">
        <v>1614.9</v>
      </c>
      <c r="C6" s="5">
        <v>1246.2</v>
      </c>
      <c r="D6" s="5">
        <v>1397.44</v>
      </c>
      <c r="E6" s="5">
        <v>1721.42</v>
      </c>
      <c r="F6" s="5">
        <v>1750.16</v>
      </c>
      <c r="G6" s="5">
        <v>1570.9</v>
      </c>
      <c r="H6" s="5">
        <v>1725.14</v>
      </c>
      <c r="I6" s="5">
        <v>1686.98</v>
      </c>
      <c r="J6" s="5"/>
      <c r="K6" s="5">
        <v>12713.14</v>
      </c>
    </row>
    <row r="7" spans="1:11" x14ac:dyDescent="0.25">
      <c r="A7" s="4" t="s">
        <v>1</v>
      </c>
      <c r="B7" s="5">
        <v>1362.84</v>
      </c>
      <c r="C7" s="5">
        <v>1431.08</v>
      </c>
      <c r="D7" s="5">
        <v>1195.2</v>
      </c>
      <c r="E7" s="5">
        <v>1764.08</v>
      </c>
      <c r="F7" s="5">
        <v>1530.32</v>
      </c>
      <c r="G7" s="5">
        <v>1727.32</v>
      </c>
      <c r="H7" s="5">
        <v>1807.48</v>
      </c>
      <c r="I7" s="5">
        <v>1855.44</v>
      </c>
      <c r="J7" s="5"/>
      <c r="K7" s="5">
        <v>12673.76</v>
      </c>
    </row>
    <row r="8" spans="1:11" x14ac:dyDescent="0.25">
      <c r="A8" s="4" t="s">
        <v>9</v>
      </c>
      <c r="B8" s="5">
        <v>1626.34</v>
      </c>
      <c r="C8" s="5">
        <v>1386.5</v>
      </c>
      <c r="D8" s="5">
        <v>1444.1</v>
      </c>
      <c r="E8" s="5">
        <v>1828.98</v>
      </c>
      <c r="F8" s="5">
        <v>1856.94</v>
      </c>
      <c r="G8" s="5">
        <v>1766.6</v>
      </c>
      <c r="H8" s="5">
        <v>1597.12</v>
      </c>
      <c r="I8" s="5">
        <v>1671.2</v>
      </c>
      <c r="J8" s="5"/>
      <c r="K8" s="5">
        <v>13177.780000000002</v>
      </c>
    </row>
    <row r="9" spans="1:11" x14ac:dyDescent="0.25">
      <c r="A9" s="4" t="s">
        <v>2</v>
      </c>
      <c r="B9" s="5">
        <v>1393.84</v>
      </c>
      <c r="C9" s="5">
        <v>1305.3800000000001</v>
      </c>
      <c r="D9" s="5">
        <v>1441.06</v>
      </c>
      <c r="E9" s="5">
        <v>1754.32</v>
      </c>
      <c r="F9" s="5">
        <v>1795.96</v>
      </c>
      <c r="G9" s="5">
        <v>1627.78</v>
      </c>
      <c r="H9" s="5">
        <v>1784.36</v>
      </c>
      <c r="I9" s="5">
        <v>1730.62</v>
      </c>
      <c r="J9" s="5"/>
      <c r="K9" s="5">
        <v>12833.32</v>
      </c>
    </row>
    <row r="10" spans="1:11" x14ac:dyDescent="0.25">
      <c r="A10" s="4" t="s">
        <v>10</v>
      </c>
      <c r="B10" s="5">
        <v>1345.24</v>
      </c>
      <c r="C10" s="5">
        <v>1393.1</v>
      </c>
      <c r="D10" s="5">
        <v>1455.04</v>
      </c>
      <c r="E10" s="5">
        <v>1698.04</v>
      </c>
      <c r="F10" s="5">
        <v>1742.86</v>
      </c>
      <c r="G10" s="5">
        <v>1687.16</v>
      </c>
      <c r="H10" s="5">
        <v>1615.6</v>
      </c>
      <c r="I10" s="5">
        <v>1392.28</v>
      </c>
      <c r="J10" s="5"/>
      <c r="K10" s="5">
        <v>12329.320000000002</v>
      </c>
    </row>
    <row r="11" spans="1:11" x14ac:dyDescent="0.25">
      <c r="A11" s="4" t="s">
        <v>6</v>
      </c>
      <c r="B11" s="5">
        <v>1458.8</v>
      </c>
      <c r="C11" s="5">
        <v>1335.06</v>
      </c>
      <c r="D11" s="5">
        <v>1293.74</v>
      </c>
      <c r="E11" s="5">
        <v>1910.3</v>
      </c>
      <c r="F11" s="5">
        <v>1846.54</v>
      </c>
      <c r="G11" s="5">
        <v>1933.08</v>
      </c>
      <c r="H11" s="5">
        <v>1772</v>
      </c>
      <c r="I11" s="5">
        <v>1555.56</v>
      </c>
      <c r="J11" s="5"/>
      <c r="K11" s="5">
        <v>13105.08</v>
      </c>
    </row>
    <row r="12" spans="1:11" x14ac:dyDescent="0.25">
      <c r="A12" s="4" t="s">
        <v>5</v>
      </c>
      <c r="B12" s="5">
        <v>1444.2</v>
      </c>
      <c r="C12" s="5">
        <v>1325.98</v>
      </c>
      <c r="D12" s="5">
        <v>1487.08</v>
      </c>
      <c r="E12" s="5">
        <v>1663.28</v>
      </c>
      <c r="F12" s="5">
        <v>1725.74</v>
      </c>
      <c r="G12" s="5">
        <v>1713.02</v>
      </c>
      <c r="H12" s="5">
        <v>1662.38</v>
      </c>
      <c r="I12" s="5">
        <v>1574.7</v>
      </c>
      <c r="J12" s="5"/>
      <c r="K12" s="5">
        <v>12596.380000000001</v>
      </c>
    </row>
    <row r="13" spans="1:11" x14ac:dyDescent="0.25">
      <c r="A13" s="4" t="s">
        <v>3</v>
      </c>
      <c r="B13" s="5">
        <v>1360.66</v>
      </c>
      <c r="C13" s="5">
        <v>1409.36</v>
      </c>
      <c r="D13" s="5">
        <v>1428.2</v>
      </c>
      <c r="E13" s="5">
        <v>1713.1</v>
      </c>
      <c r="F13" s="5">
        <v>1605.42</v>
      </c>
      <c r="G13" s="5">
        <v>1617.82</v>
      </c>
      <c r="H13" s="5">
        <v>1558.58</v>
      </c>
      <c r="I13" s="5">
        <v>1728.44</v>
      </c>
      <c r="J13" s="5"/>
      <c r="K13" s="5">
        <v>12421.58</v>
      </c>
    </row>
    <row r="14" spans="1:11" x14ac:dyDescent="0.25">
      <c r="A14" s="4" t="s">
        <v>8</v>
      </c>
      <c r="B14" s="5">
        <v>1270.8800000000001</v>
      </c>
      <c r="C14" s="5">
        <v>1482.3</v>
      </c>
      <c r="D14" s="5">
        <v>1260.22</v>
      </c>
      <c r="E14" s="5">
        <v>1817.78</v>
      </c>
      <c r="F14" s="5">
        <v>1766.58</v>
      </c>
      <c r="G14" s="5">
        <v>1675.3</v>
      </c>
      <c r="H14" s="5">
        <v>1895.62</v>
      </c>
      <c r="I14" s="5">
        <v>1633.56</v>
      </c>
      <c r="J14" s="5"/>
      <c r="K14" s="5">
        <v>12802.24</v>
      </c>
    </row>
    <row r="15" spans="1:11" x14ac:dyDescent="0.25">
      <c r="A15" s="4" t="s">
        <v>0</v>
      </c>
      <c r="B15" s="5">
        <v>1244.8</v>
      </c>
      <c r="C15" s="5">
        <v>1408.16</v>
      </c>
      <c r="D15" s="5">
        <v>1258.6600000000001</v>
      </c>
      <c r="E15" s="5">
        <v>1875.24</v>
      </c>
      <c r="F15" s="5">
        <v>1507.28</v>
      </c>
      <c r="G15" s="5">
        <v>1835.4</v>
      </c>
      <c r="H15" s="5">
        <v>1758.02</v>
      </c>
      <c r="I15" s="5">
        <v>2049.3000000000002</v>
      </c>
      <c r="J15" s="5"/>
      <c r="K15" s="5">
        <v>12936.86</v>
      </c>
    </row>
    <row r="16" spans="1:11" x14ac:dyDescent="0.25">
      <c r="A16" s="4" t="s">
        <v>11</v>
      </c>
      <c r="B16" s="5">
        <v>1355.3</v>
      </c>
      <c r="C16" s="5">
        <v>1303.74</v>
      </c>
      <c r="D16" s="5">
        <v>1300.1400000000001</v>
      </c>
      <c r="E16" s="5">
        <v>1606.44</v>
      </c>
      <c r="F16" s="5">
        <v>1322.28</v>
      </c>
      <c r="G16" s="5">
        <v>1627.52</v>
      </c>
      <c r="H16" s="5">
        <v>1712.76</v>
      </c>
      <c r="I16" s="5">
        <v>1508.2</v>
      </c>
      <c r="J16" s="5"/>
      <c r="K16" s="5">
        <v>11736.380000000001</v>
      </c>
    </row>
    <row r="17" spans="1:11" x14ac:dyDescent="0.25">
      <c r="A17" s="4" t="s">
        <v>7</v>
      </c>
      <c r="B17" s="5">
        <v>1366.56</v>
      </c>
      <c r="C17" s="5">
        <v>1349.04</v>
      </c>
      <c r="D17" s="5">
        <v>1461.56</v>
      </c>
      <c r="E17" s="5">
        <v>1762.22</v>
      </c>
      <c r="F17" s="5">
        <v>1716.24</v>
      </c>
      <c r="G17" s="5">
        <v>1574.18</v>
      </c>
      <c r="H17" s="5">
        <v>1652.52</v>
      </c>
      <c r="I17" s="5">
        <v>1534.66</v>
      </c>
      <c r="J17" s="5"/>
      <c r="K17" s="5">
        <v>12416.98</v>
      </c>
    </row>
    <row r="18" spans="1:11" x14ac:dyDescent="0.25">
      <c r="A18" s="4" t="s">
        <v>82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4" t="s">
        <v>83</v>
      </c>
      <c r="B19" s="5">
        <v>16844.36</v>
      </c>
      <c r="C19" s="5">
        <v>16375.899999999998</v>
      </c>
      <c r="D19" s="5">
        <v>16422.439999999999</v>
      </c>
      <c r="E19" s="5">
        <v>21115.200000000001</v>
      </c>
      <c r="F19" s="5">
        <v>20166.32</v>
      </c>
      <c r="G19" s="5">
        <v>20356.080000000002</v>
      </c>
      <c r="H19" s="5">
        <v>20541.579999999998</v>
      </c>
      <c r="I19" s="5">
        <v>19920.940000000002</v>
      </c>
      <c r="J19" s="5"/>
      <c r="K19" s="5">
        <v>151742.82000000004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0EE9-F59A-499A-9155-694CE12863E1}">
  <dimension ref="A1:T143"/>
  <sheetViews>
    <sheetView workbookViewId="0">
      <selection sqref="A1:XFD1048576"/>
    </sheetView>
  </sheetViews>
  <sheetFormatPr defaultRowHeight="11.25" x14ac:dyDescent="0.2"/>
  <cols>
    <col min="1" max="1" width="5.7109375" style="1" bestFit="1" customWidth="1"/>
    <col min="2" max="2" width="19.5703125" style="1" bestFit="1" customWidth="1"/>
    <col min="3" max="3" width="11.140625" style="1" bestFit="1" customWidth="1"/>
    <col min="4" max="4" width="7.28515625" style="1" bestFit="1" customWidth="1"/>
    <col min="5" max="5" width="7.42578125" style="1" bestFit="1" customWidth="1"/>
    <col min="6" max="6" width="4.140625" style="1" bestFit="1" customWidth="1"/>
    <col min="7" max="7" width="5.42578125" style="1" bestFit="1" customWidth="1"/>
    <col min="8" max="8" width="3.42578125" style="1" bestFit="1" customWidth="1"/>
    <col min="9" max="9" width="7.28515625" style="1" bestFit="1" customWidth="1"/>
    <col min="10" max="11" width="9.85546875" style="1" bestFit="1" customWidth="1"/>
    <col min="12" max="12" width="5.140625" style="1" bestFit="1" customWidth="1"/>
    <col min="13" max="13" width="7.42578125" style="1" bestFit="1" customWidth="1"/>
    <col min="14" max="14" width="6" style="1" bestFit="1" customWidth="1"/>
    <col min="15" max="15" width="5.42578125" style="1" bestFit="1" customWidth="1"/>
    <col min="16" max="16384" width="9.140625" style="1"/>
  </cols>
  <sheetData>
    <row r="1" spans="1:20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74</v>
      </c>
      <c r="M1" s="1" t="s">
        <v>77</v>
      </c>
      <c r="N1" s="1" t="s">
        <v>78</v>
      </c>
      <c r="O1" s="1" t="s">
        <v>79</v>
      </c>
      <c r="P1" s="1" t="s">
        <v>80</v>
      </c>
    </row>
    <row r="2" spans="1:20" x14ac:dyDescent="0.2">
      <c r="A2" s="1">
        <v>2025</v>
      </c>
      <c r="B2" s="1" t="s">
        <v>23</v>
      </c>
      <c r="C2" s="1" t="s">
        <v>0</v>
      </c>
      <c r="D2" s="1">
        <v>2003</v>
      </c>
      <c r="E2" s="1">
        <v>1</v>
      </c>
      <c r="F2" s="1">
        <v>12</v>
      </c>
      <c r="G2" s="1">
        <v>2</v>
      </c>
      <c r="H2" s="1">
        <v>0</v>
      </c>
      <c r="I2" s="1">
        <v>2049.3000000000002</v>
      </c>
      <c r="J2" s="1">
        <v>1543.86</v>
      </c>
      <c r="K2" s="1" t="s">
        <v>75</v>
      </c>
      <c r="L2" s="1">
        <v>8</v>
      </c>
      <c r="M2" s="1" t="s">
        <v>75</v>
      </c>
      <c r="N2" s="1" t="s">
        <v>75</v>
      </c>
      <c r="O2" s="1">
        <f>F2+G2</f>
        <v>14</v>
      </c>
      <c r="P2" s="1">
        <v>5</v>
      </c>
    </row>
    <row r="3" spans="1:20" x14ac:dyDescent="0.2">
      <c r="A3" s="1">
        <v>2025</v>
      </c>
      <c r="B3" s="1" t="s">
        <v>24</v>
      </c>
      <c r="C3" s="1" t="s">
        <v>2</v>
      </c>
      <c r="D3" s="1">
        <v>2012</v>
      </c>
      <c r="E3" s="1">
        <v>2</v>
      </c>
      <c r="F3" s="1">
        <v>8</v>
      </c>
      <c r="G3" s="1">
        <v>6</v>
      </c>
      <c r="H3" s="1">
        <v>0</v>
      </c>
      <c r="I3" s="1">
        <v>1730.62</v>
      </c>
      <c r="J3" s="1">
        <v>1691.22</v>
      </c>
      <c r="K3" s="1" t="s">
        <v>75</v>
      </c>
      <c r="L3" s="1">
        <v>12</v>
      </c>
      <c r="M3" s="1" t="s">
        <v>76</v>
      </c>
      <c r="N3" s="1" t="s">
        <v>75</v>
      </c>
      <c r="O3" s="1">
        <f t="shared" ref="O3:O66" si="0">F3+G3</f>
        <v>14</v>
      </c>
      <c r="P3" s="1">
        <v>4</v>
      </c>
    </row>
    <row r="4" spans="1:20" x14ac:dyDescent="0.2">
      <c r="A4" s="1">
        <v>2025</v>
      </c>
      <c r="B4" s="1" t="s">
        <v>25</v>
      </c>
      <c r="C4" s="1" t="s">
        <v>3</v>
      </c>
      <c r="D4" s="1">
        <v>2001</v>
      </c>
      <c r="E4" s="1">
        <v>3</v>
      </c>
      <c r="F4" s="1">
        <v>7</v>
      </c>
      <c r="G4" s="1">
        <v>7</v>
      </c>
      <c r="H4" s="1">
        <v>0</v>
      </c>
      <c r="I4" s="1">
        <v>1728.44</v>
      </c>
      <c r="J4" s="1">
        <v>1584.9</v>
      </c>
      <c r="K4" s="1" t="s">
        <v>75</v>
      </c>
      <c r="L4" s="1">
        <v>37</v>
      </c>
      <c r="M4" s="1" t="s">
        <v>76</v>
      </c>
      <c r="N4" s="1" t="s">
        <v>75</v>
      </c>
      <c r="O4" s="1">
        <f t="shared" si="0"/>
        <v>14</v>
      </c>
      <c r="P4" s="1">
        <v>3</v>
      </c>
    </row>
    <row r="5" spans="1:20" x14ac:dyDescent="0.2">
      <c r="A5" s="1">
        <v>2025</v>
      </c>
      <c r="B5" s="1" t="s">
        <v>26</v>
      </c>
      <c r="C5" s="1" t="s">
        <v>1</v>
      </c>
      <c r="D5" s="1">
        <v>2003</v>
      </c>
      <c r="E5" s="1">
        <v>4</v>
      </c>
      <c r="F5" s="1">
        <v>10</v>
      </c>
      <c r="G5" s="1">
        <v>4</v>
      </c>
      <c r="H5" s="1">
        <v>0</v>
      </c>
      <c r="I5" s="1">
        <v>1855.44</v>
      </c>
      <c r="J5" s="1">
        <v>1616.18</v>
      </c>
      <c r="K5" s="1" t="s">
        <v>75</v>
      </c>
      <c r="L5" s="1">
        <v>15</v>
      </c>
      <c r="M5" s="1" t="s">
        <v>76</v>
      </c>
      <c r="N5" s="1" t="s">
        <v>76</v>
      </c>
      <c r="O5" s="1">
        <f t="shared" si="0"/>
        <v>14</v>
      </c>
      <c r="P5" s="1">
        <v>9</v>
      </c>
    </row>
    <row r="6" spans="1:20" x14ac:dyDescent="0.2">
      <c r="A6" s="1">
        <v>2025</v>
      </c>
      <c r="B6" s="1" t="s">
        <v>30</v>
      </c>
      <c r="C6" s="1" t="s">
        <v>4</v>
      </c>
      <c r="D6" s="1">
        <v>2001</v>
      </c>
      <c r="E6" s="1">
        <v>5</v>
      </c>
      <c r="F6" s="1">
        <v>8</v>
      </c>
      <c r="G6" s="1">
        <v>6</v>
      </c>
      <c r="H6" s="1">
        <v>0</v>
      </c>
      <c r="I6" s="1">
        <v>1686.98</v>
      </c>
      <c r="J6" s="1">
        <v>1671.12</v>
      </c>
      <c r="K6" s="1" t="s">
        <v>75</v>
      </c>
      <c r="L6" s="1">
        <v>11</v>
      </c>
      <c r="M6" s="1" t="s">
        <v>76</v>
      </c>
      <c r="N6" s="1" t="s">
        <v>76</v>
      </c>
      <c r="O6" s="1">
        <f t="shared" si="0"/>
        <v>14</v>
      </c>
      <c r="P6" s="1">
        <v>11</v>
      </c>
    </row>
    <row r="7" spans="1:20" x14ac:dyDescent="0.2">
      <c r="A7" s="1">
        <v>2025</v>
      </c>
      <c r="B7" s="1" t="s">
        <v>47</v>
      </c>
      <c r="C7" s="1" t="s">
        <v>5</v>
      </c>
      <c r="D7" s="1">
        <v>2014</v>
      </c>
      <c r="E7" s="1">
        <v>6</v>
      </c>
      <c r="F7" s="1">
        <v>9</v>
      </c>
      <c r="G7" s="1">
        <v>5</v>
      </c>
      <c r="H7" s="1">
        <v>0</v>
      </c>
      <c r="I7" s="1">
        <v>1574.7</v>
      </c>
      <c r="J7" s="1">
        <v>1714.9</v>
      </c>
      <c r="K7" s="1" t="s">
        <v>75</v>
      </c>
      <c r="L7" s="1">
        <v>43</v>
      </c>
      <c r="M7" s="1" t="s">
        <v>76</v>
      </c>
      <c r="N7" s="1" t="s">
        <v>76</v>
      </c>
      <c r="O7" s="1">
        <f t="shared" si="0"/>
        <v>14</v>
      </c>
      <c r="P7" s="1">
        <v>6</v>
      </c>
    </row>
    <row r="8" spans="1:20" x14ac:dyDescent="0.2">
      <c r="A8" s="1">
        <v>2025</v>
      </c>
      <c r="B8" s="1" t="s">
        <v>27</v>
      </c>
      <c r="C8" s="1" t="s">
        <v>6</v>
      </c>
      <c r="D8" s="1">
        <v>2002</v>
      </c>
      <c r="E8" s="1">
        <v>7</v>
      </c>
      <c r="F8" s="1">
        <v>5</v>
      </c>
      <c r="G8" s="1">
        <v>9</v>
      </c>
      <c r="H8" s="1">
        <v>0</v>
      </c>
      <c r="I8" s="1">
        <v>1555.56</v>
      </c>
      <c r="J8" s="1">
        <v>1756.02</v>
      </c>
      <c r="K8" s="1" t="s">
        <v>76</v>
      </c>
      <c r="L8" s="1">
        <v>21</v>
      </c>
      <c r="M8" s="1" t="s">
        <v>76</v>
      </c>
      <c r="N8" s="1" t="s">
        <v>76</v>
      </c>
      <c r="O8" s="1">
        <f t="shared" si="0"/>
        <v>14</v>
      </c>
      <c r="P8" s="1">
        <v>10</v>
      </c>
    </row>
    <row r="9" spans="1:20" x14ac:dyDescent="0.2">
      <c r="A9" s="1">
        <v>2025</v>
      </c>
      <c r="B9" s="1" t="s">
        <v>49</v>
      </c>
      <c r="C9" s="1" t="s">
        <v>7</v>
      </c>
      <c r="D9" s="1">
        <v>2008</v>
      </c>
      <c r="E9" s="1">
        <v>8</v>
      </c>
      <c r="F9" s="1">
        <v>6</v>
      </c>
      <c r="G9" s="1">
        <v>8</v>
      </c>
      <c r="H9" s="1">
        <v>0</v>
      </c>
      <c r="I9" s="1">
        <v>1534.66</v>
      </c>
      <c r="J9" s="1">
        <v>1582.78</v>
      </c>
      <c r="K9" s="1" t="s">
        <v>76</v>
      </c>
      <c r="L9" s="1">
        <v>22</v>
      </c>
      <c r="M9" s="1" t="s">
        <v>76</v>
      </c>
      <c r="N9" s="1" t="s">
        <v>76</v>
      </c>
      <c r="O9" s="1">
        <f t="shared" si="0"/>
        <v>14</v>
      </c>
      <c r="P9" s="1">
        <v>8</v>
      </c>
    </row>
    <row r="10" spans="1:20" x14ac:dyDescent="0.2">
      <c r="A10" s="1">
        <v>2025</v>
      </c>
      <c r="B10" s="1" t="s">
        <v>41</v>
      </c>
      <c r="C10" s="1" t="s">
        <v>8</v>
      </c>
      <c r="D10" s="1">
        <v>2003</v>
      </c>
      <c r="E10" s="1">
        <v>9</v>
      </c>
      <c r="F10" s="1">
        <v>6</v>
      </c>
      <c r="G10" s="1">
        <v>8</v>
      </c>
      <c r="H10" s="1">
        <v>0</v>
      </c>
      <c r="I10" s="1">
        <v>1633.56</v>
      </c>
      <c r="J10" s="1">
        <v>1643.1</v>
      </c>
      <c r="K10" s="1" t="s">
        <v>76</v>
      </c>
      <c r="L10" s="1">
        <v>8</v>
      </c>
      <c r="M10" s="1" t="s">
        <v>76</v>
      </c>
      <c r="N10" s="1" t="s">
        <v>76</v>
      </c>
      <c r="O10" s="1">
        <f t="shared" si="0"/>
        <v>14</v>
      </c>
      <c r="P10" s="1">
        <v>1</v>
      </c>
    </row>
    <row r="11" spans="1:20" x14ac:dyDescent="0.2">
      <c r="A11" s="1">
        <v>2025</v>
      </c>
      <c r="B11" s="1" t="s">
        <v>29</v>
      </c>
      <c r="C11" s="1" t="s">
        <v>9</v>
      </c>
      <c r="D11" s="1">
        <v>2001</v>
      </c>
      <c r="E11" s="1">
        <v>10</v>
      </c>
      <c r="F11" s="1">
        <v>7</v>
      </c>
      <c r="G11" s="1">
        <v>7</v>
      </c>
      <c r="H11" s="1">
        <v>0</v>
      </c>
      <c r="I11" s="1">
        <v>1671.2</v>
      </c>
      <c r="J11" s="1">
        <v>1522.56</v>
      </c>
      <c r="K11" s="1" t="s">
        <v>76</v>
      </c>
      <c r="L11" s="1">
        <v>20</v>
      </c>
      <c r="M11" s="1" t="s">
        <v>76</v>
      </c>
      <c r="N11" s="1" t="s">
        <v>76</v>
      </c>
      <c r="O11" s="1">
        <f t="shared" si="0"/>
        <v>14</v>
      </c>
      <c r="P11" s="1">
        <v>12</v>
      </c>
    </row>
    <row r="12" spans="1:20" x14ac:dyDescent="0.2">
      <c r="A12" s="1">
        <v>2025</v>
      </c>
      <c r="B12" s="1" t="s">
        <v>35</v>
      </c>
      <c r="C12" s="1" t="s">
        <v>10</v>
      </c>
      <c r="D12" s="1">
        <v>2002</v>
      </c>
      <c r="E12" s="1">
        <v>11</v>
      </c>
      <c r="F12" s="1">
        <v>2</v>
      </c>
      <c r="G12" s="1">
        <v>12</v>
      </c>
      <c r="H12" s="1">
        <v>0</v>
      </c>
      <c r="I12" s="1">
        <v>1392.28</v>
      </c>
      <c r="J12" s="1">
        <v>1693.66</v>
      </c>
      <c r="K12" s="1" t="s">
        <v>76</v>
      </c>
      <c r="L12" s="1">
        <v>16</v>
      </c>
      <c r="M12" s="1" t="s">
        <v>76</v>
      </c>
      <c r="N12" s="1" t="s">
        <v>76</v>
      </c>
      <c r="O12" s="1">
        <f t="shared" si="0"/>
        <v>14</v>
      </c>
      <c r="P12" s="1">
        <v>7</v>
      </c>
    </row>
    <row r="13" spans="1:20" x14ac:dyDescent="0.2">
      <c r="A13" s="1">
        <v>2025</v>
      </c>
      <c r="B13" s="1" t="s">
        <v>48</v>
      </c>
      <c r="C13" s="1" t="s">
        <v>11</v>
      </c>
      <c r="D13" s="1">
        <v>2008</v>
      </c>
      <c r="E13" s="1">
        <v>12</v>
      </c>
      <c r="F13" s="1">
        <v>4</v>
      </c>
      <c r="G13" s="1">
        <v>10</v>
      </c>
      <c r="H13" s="1">
        <v>0</v>
      </c>
      <c r="I13" s="1">
        <v>1508.2</v>
      </c>
      <c r="J13" s="1">
        <v>1900.64</v>
      </c>
      <c r="K13" s="1" t="s">
        <v>76</v>
      </c>
      <c r="L13" s="1">
        <v>48</v>
      </c>
      <c r="M13" s="1" t="s">
        <v>76</v>
      </c>
      <c r="N13" s="1" t="s">
        <v>76</v>
      </c>
      <c r="O13" s="1">
        <f t="shared" si="0"/>
        <v>14</v>
      </c>
      <c r="P13" s="1">
        <v>2</v>
      </c>
    </row>
    <row r="14" spans="1:20" x14ac:dyDescent="0.2">
      <c r="A14" s="1">
        <v>2024</v>
      </c>
      <c r="B14" s="1" t="s">
        <v>26</v>
      </c>
      <c r="C14" s="1" t="s">
        <v>1</v>
      </c>
      <c r="D14" s="1">
        <v>2003</v>
      </c>
      <c r="E14" s="1">
        <v>1</v>
      </c>
      <c r="F14" s="1">
        <v>7</v>
      </c>
      <c r="G14" s="1">
        <v>7</v>
      </c>
      <c r="H14" s="1">
        <v>0</v>
      </c>
      <c r="I14" s="1">
        <v>1807.48</v>
      </c>
      <c r="J14" s="1">
        <v>1858.82</v>
      </c>
      <c r="K14" s="1" t="s">
        <v>75</v>
      </c>
      <c r="L14" s="1">
        <v>7</v>
      </c>
      <c r="M14" s="1" t="s">
        <v>75</v>
      </c>
      <c r="N14" s="1" t="s">
        <v>75</v>
      </c>
      <c r="O14" s="1">
        <f t="shared" si="0"/>
        <v>14</v>
      </c>
      <c r="P14" s="1">
        <v>6</v>
      </c>
      <c r="T14" s="2"/>
    </row>
    <row r="15" spans="1:20" x14ac:dyDescent="0.2">
      <c r="A15" s="1">
        <v>2024</v>
      </c>
      <c r="B15" s="1" t="s">
        <v>27</v>
      </c>
      <c r="C15" s="1" t="s">
        <v>6</v>
      </c>
      <c r="D15" s="1">
        <v>2002</v>
      </c>
      <c r="E15" s="1">
        <v>2</v>
      </c>
      <c r="F15" s="1">
        <v>7</v>
      </c>
      <c r="G15" s="1">
        <v>7</v>
      </c>
      <c r="H15" s="1">
        <v>0</v>
      </c>
      <c r="I15" s="1">
        <v>1772</v>
      </c>
      <c r="J15" s="1">
        <v>1640.14</v>
      </c>
      <c r="K15" s="1" t="s">
        <v>75</v>
      </c>
      <c r="L15" s="1">
        <v>17</v>
      </c>
      <c r="M15" s="1" t="s">
        <v>76</v>
      </c>
      <c r="N15" s="1" t="s">
        <v>75</v>
      </c>
      <c r="O15" s="1">
        <f t="shared" si="0"/>
        <v>14</v>
      </c>
      <c r="P15" s="1">
        <v>9</v>
      </c>
      <c r="T15" s="2"/>
    </row>
    <row r="16" spans="1:20" x14ac:dyDescent="0.2">
      <c r="A16" s="1">
        <v>2024</v>
      </c>
      <c r="B16" s="1" t="s">
        <v>23</v>
      </c>
      <c r="C16" s="1" t="s">
        <v>0</v>
      </c>
      <c r="D16" s="1">
        <v>2003</v>
      </c>
      <c r="E16" s="1">
        <v>3</v>
      </c>
      <c r="F16" s="1">
        <v>10</v>
      </c>
      <c r="G16" s="1">
        <v>4</v>
      </c>
      <c r="H16" s="1">
        <v>0</v>
      </c>
      <c r="I16" s="1">
        <v>1758.02</v>
      </c>
      <c r="J16" s="1">
        <v>1689</v>
      </c>
      <c r="K16" s="1" t="s">
        <v>75</v>
      </c>
      <c r="L16" s="1">
        <v>20</v>
      </c>
      <c r="M16" s="1" t="s">
        <v>76</v>
      </c>
      <c r="N16" s="1" t="s">
        <v>75</v>
      </c>
      <c r="O16" s="1">
        <f t="shared" si="0"/>
        <v>14</v>
      </c>
      <c r="P16" s="1">
        <v>3</v>
      </c>
      <c r="T16" s="2"/>
    </row>
    <row r="17" spans="1:20" x14ac:dyDescent="0.2">
      <c r="A17" s="1">
        <v>2024</v>
      </c>
      <c r="B17" s="1" t="s">
        <v>51</v>
      </c>
      <c r="C17" s="1" t="s">
        <v>11</v>
      </c>
      <c r="D17" s="1">
        <v>2008</v>
      </c>
      <c r="E17" s="1">
        <v>4</v>
      </c>
      <c r="F17" s="1">
        <v>10</v>
      </c>
      <c r="G17" s="1">
        <v>4</v>
      </c>
      <c r="H17" s="1">
        <v>0</v>
      </c>
      <c r="I17" s="1">
        <v>1712.76</v>
      </c>
      <c r="J17" s="1">
        <v>1608.4</v>
      </c>
      <c r="K17" s="1" t="s">
        <v>75</v>
      </c>
      <c r="L17" s="1">
        <v>51</v>
      </c>
      <c r="M17" s="1" t="s">
        <v>76</v>
      </c>
      <c r="N17" s="1" t="s">
        <v>76</v>
      </c>
      <c r="O17" s="1">
        <f t="shared" si="0"/>
        <v>14</v>
      </c>
      <c r="P17" s="1">
        <v>11</v>
      </c>
      <c r="T17" s="2"/>
    </row>
    <row r="18" spans="1:20" x14ac:dyDescent="0.2">
      <c r="A18" s="1">
        <v>2024</v>
      </c>
      <c r="B18" s="1" t="s">
        <v>24</v>
      </c>
      <c r="C18" s="1" t="s">
        <v>2</v>
      </c>
      <c r="D18" s="1">
        <v>2012</v>
      </c>
      <c r="E18" s="1">
        <v>5</v>
      </c>
      <c r="F18" s="1">
        <v>9</v>
      </c>
      <c r="G18" s="1">
        <v>5</v>
      </c>
      <c r="H18" s="1">
        <v>0</v>
      </c>
      <c r="I18" s="1">
        <v>1784.36</v>
      </c>
      <c r="J18" s="1">
        <v>1700</v>
      </c>
      <c r="K18" s="1" t="s">
        <v>75</v>
      </c>
      <c r="L18" s="1">
        <v>10</v>
      </c>
      <c r="M18" s="1" t="s">
        <v>76</v>
      </c>
      <c r="N18" s="1" t="s">
        <v>76</v>
      </c>
      <c r="O18" s="1">
        <f t="shared" si="0"/>
        <v>14</v>
      </c>
      <c r="P18" s="1">
        <v>12</v>
      </c>
      <c r="T18" s="2"/>
    </row>
    <row r="19" spans="1:20" x14ac:dyDescent="0.2">
      <c r="A19" s="1">
        <v>2024</v>
      </c>
      <c r="B19" s="1" t="s">
        <v>41</v>
      </c>
      <c r="C19" s="1" t="s">
        <v>8</v>
      </c>
      <c r="D19" s="1">
        <v>2003</v>
      </c>
      <c r="E19" s="1">
        <v>6</v>
      </c>
      <c r="F19" s="1">
        <v>9</v>
      </c>
      <c r="G19" s="1">
        <v>5</v>
      </c>
      <c r="H19" s="1">
        <v>0</v>
      </c>
      <c r="I19" s="1">
        <v>1895.62</v>
      </c>
      <c r="J19" s="1">
        <v>1682</v>
      </c>
      <c r="K19" s="1" t="s">
        <v>75</v>
      </c>
      <c r="L19" s="1">
        <v>11</v>
      </c>
      <c r="M19" s="1" t="s">
        <v>76</v>
      </c>
      <c r="N19" s="1" t="s">
        <v>76</v>
      </c>
      <c r="O19" s="1">
        <f t="shared" si="0"/>
        <v>14</v>
      </c>
      <c r="P19" s="1">
        <v>10</v>
      </c>
      <c r="T19" s="2"/>
    </row>
    <row r="20" spans="1:20" x14ac:dyDescent="0.2">
      <c r="A20" s="1">
        <v>2024</v>
      </c>
      <c r="B20" s="1" t="s">
        <v>29</v>
      </c>
      <c r="C20" s="1" t="s">
        <v>9</v>
      </c>
      <c r="D20" s="1">
        <v>2001</v>
      </c>
      <c r="E20" s="1">
        <v>7</v>
      </c>
      <c r="F20" s="1">
        <v>6</v>
      </c>
      <c r="G20" s="1">
        <v>8</v>
      </c>
      <c r="H20" s="1">
        <v>0</v>
      </c>
      <c r="I20" s="1">
        <v>1597.12</v>
      </c>
      <c r="J20" s="1">
        <v>1769.52</v>
      </c>
      <c r="K20" s="1" t="s">
        <v>76</v>
      </c>
      <c r="L20" s="1">
        <v>18</v>
      </c>
      <c r="M20" s="1" t="s">
        <v>76</v>
      </c>
      <c r="N20" s="1" t="s">
        <v>76</v>
      </c>
      <c r="O20" s="1">
        <f t="shared" si="0"/>
        <v>14</v>
      </c>
      <c r="P20" s="1">
        <v>7</v>
      </c>
      <c r="T20" s="2"/>
    </row>
    <row r="21" spans="1:20" x14ac:dyDescent="0.2">
      <c r="A21" s="1">
        <v>2024</v>
      </c>
      <c r="B21" s="1" t="s">
        <v>50</v>
      </c>
      <c r="C21" s="1" t="s">
        <v>3</v>
      </c>
      <c r="D21" s="1">
        <v>2001</v>
      </c>
      <c r="E21" s="1">
        <v>8</v>
      </c>
      <c r="F21" s="1">
        <v>3</v>
      </c>
      <c r="G21" s="1">
        <v>11</v>
      </c>
      <c r="H21" s="1">
        <v>0</v>
      </c>
      <c r="I21" s="1">
        <v>1558.58</v>
      </c>
      <c r="J21" s="1">
        <v>1696.86</v>
      </c>
      <c r="K21" s="1" t="s">
        <v>76</v>
      </c>
      <c r="L21" s="1">
        <v>27</v>
      </c>
      <c r="M21" s="1" t="s">
        <v>76</v>
      </c>
      <c r="N21" s="1" t="s">
        <v>76</v>
      </c>
      <c r="O21" s="1">
        <f t="shared" si="0"/>
        <v>14</v>
      </c>
      <c r="P21" s="1">
        <v>5</v>
      </c>
      <c r="T21" s="2"/>
    </row>
    <row r="22" spans="1:20" x14ac:dyDescent="0.2">
      <c r="A22" s="1">
        <v>2024</v>
      </c>
      <c r="B22" s="1" t="s">
        <v>47</v>
      </c>
      <c r="C22" s="1" t="s">
        <v>5</v>
      </c>
      <c r="D22" s="1">
        <v>2014</v>
      </c>
      <c r="E22" s="1">
        <v>9</v>
      </c>
      <c r="F22" s="1">
        <v>7</v>
      </c>
      <c r="G22" s="1">
        <v>7</v>
      </c>
      <c r="H22" s="1">
        <v>0</v>
      </c>
      <c r="I22" s="1">
        <v>1662.38</v>
      </c>
      <c r="J22" s="1">
        <v>1690.42</v>
      </c>
      <c r="K22" s="1" t="s">
        <v>76</v>
      </c>
      <c r="L22" s="1">
        <v>37</v>
      </c>
      <c r="M22" s="1" t="s">
        <v>76</v>
      </c>
      <c r="N22" s="1" t="s">
        <v>76</v>
      </c>
      <c r="O22" s="1">
        <f t="shared" si="0"/>
        <v>14</v>
      </c>
      <c r="P22" s="1">
        <v>8</v>
      </c>
      <c r="T22" s="2"/>
    </row>
    <row r="23" spans="1:20" x14ac:dyDescent="0.2">
      <c r="A23" s="1">
        <v>2024</v>
      </c>
      <c r="B23" s="1" t="s">
        <v>30</v>
      </c>
      <c r="C23" s="1" t="s">
        <v>4</v>
      </c>
      <c r="D23" s="1">
        <v>2001</v>
      </c>
      <c r="E23" s="1">
        <v>10</v>
      </c>
      <c r="F23" s="1">
        <v>6</v>
      </c>
      <c r="G23" s="1">
        <v>8</v>
      </c>
      <c r="H23" s="1">
        <v>0</v>
      </c>
      <c r="I23" s="1">
        <v>1725.14</v>
      </c>
      <c r="J23" s="1">
        <v>1646.58</v>
      </c>
      <c r="K23" s="1" t="s">
        <v>76</v>
      </c>
      <c r="L23" s="1">
        <v>15</v>
      </c>
      <c r="M23" s="1" t="s">
        <v>76</v>
      </c>
      <c r="N23" s="1" t="s">
        <v>76</v>
      </c>
      <c r="O23" s="1">
        <f t="shared" si="0"/>
        <v>14</v>
      </c>
      <c r="P23" s="1">
        <v>4</v>
      </c>
      <c r="T23" s="2"/>
    </row>
    <row r="24" spans="1:20" x14ac:dyDescent="0.2">
      <c r="A24" s="1">
        <v>2024</v>
      </c>
      <c r="B24" s="1" t="s">
        <v>35</v>
      </c>
      <c r="C24" s="1" t="s">
        <v>10</v>
      </c>
      <c r="D24" s="1">
        <v>2002</v>
      </c>
      <c r="E24" s="1">
        <v>11</v>
      </c>
      <c r="F24" s="1">
        <v>4</v>
      </c>
      <c r="G24" s="1">
        <v>10</v>
      </c>
      <c r="H24" s="1">
        <v>0</v>
      </c>
      <c r="I24" s="1">
        <v>1615.6</v>
      </c>
      <c r="J24" s="1">
        <v>1739.56</v>
      </c>
      <c r="K24" s="1" t="s">
        <v>76</v>
      </c>
      <c r="L24" s="1">
        <v>20</v>
      </c>
      <c r="M24" s="1" t="s">
        <v>76</v>
      </c>
      <c r="N24" s="1" t="s">
        <v>76</v>
      </c>
      <c r="O24" s="1">
        <f t="shared" si="0"/>
        <v>14</v>
      </c>
      <c r="P24" s="1">
        <v>2</v>
      </c>
      <c r="T24" s="2"/>
    </row>
    <row r="25" spans="1:20" x14ac:dyDescent="0.2">
      <c r="A25" s="1">
        <v>2024</v>
      </c>
      <c r="B25" s="1" t="s">
        <v>52</v>
      </c>
      <c r="C25" s="1" t="s">
        <v>7</v>
      </c>
      <c r="D25" s="1">
        <v>2008</v>
      </c>
      <c r="E25" s="1">
        <v>12</v>
      </c>
      <c r="F25" s="1">
        <v>6</v>
      </c>
      <c r="G25" s="1">
        <v>8</v>
      </c>
      <c r="H25" s="1">
        <v>0</v>
      </c>
      <c r="I25" s="1">
        <v>1652.52</v>
      </c>
      <c r="J25" s="1">
        <v>1820.28</v>
      </c>
      <c r="K25" s="1" t="s">
        <v>76</v>
      </c>
      <c r="L25" s="1">
        <v>19</v>
      </c>
      <c r="M25" s="1" t="s">
        <v>76</v>
      </c>
      <c r="N25" s="1" t="s">
        <v>76</v>
      </c>
      <c r="O25" s="1">
        <f t="shared" si="0"/>
        <v>14</v>
      </c>
      <c r="P25" s="1">
        <v>1</v>
      </c>
      <c r="T25" s="2"/>
    </row>
    <row r="26" spans="1:20" x14ac:dyDescent="0.2">
      <c r="A26" s="1">
        <v>2023</v>
      </c>
      <c r="B26" s="1" t="s">
        <v>28</v>
      </c>
      <c r="C26" s="1" t="s">
        <v>5</v>
      </c>
      <c r="D26" s="1">
        <v>2014</v>
      </c>
      <c r="E26" s="1">
        <v>1</v>
      </c>
      <c r="F26" s="1">
        <v>8</v>
      </c>
      <c r="G26" s="1">
        <v>6</v>
      </c>
      <c r="H26" s="1">
        <v>0</v>
      </c>
      <c r="I26" s="1">
        <v>1713.02</v>
      </c>
      <c r="J26" s="1">
        <v>1750.5</v>
      </c>
      <c r="K26" s="1" t="s">
        <v>75</v>
      </c>
      <c r="L26" s="1">
        <v>49</v>
      </c>
      <c r="M26" s="1" t="s">
        <v>75</v>
      </c>
      <c r="N26" s="1" t="s">
        <v>75</v>
      </c>
      <c r="O26" s="1">
        <f t="shared" si="0"/>
        <v>14</v>
      </c>
      <c r="P26" s="1">
        <v>9</v>
      </c>
      <c r="T26" s="2"/>
    </row>
    <row r="27" spans="1:20" x14ac:dyDescent="0.2">
      <c r="A27" s="1">
        <v>2023</v>
      </c>
      <c r="B27" s="1" t="s">
        <v>29</v>
      </c>
      <c r="C27" s="1" t="s">
        <v>9</v>
      </c>
      <c r="D27" s="1">
        <v>2001</v>
      </c>
      <c r="E27" s="1">
        <v>2</v>
      </c>
      <c r="F27" s="1">
        <v>7</v>
      </c>
      <c r="G27" s="1">
        <v>7</v>
      </c>
      <c r="H27" s="1">
        <v>0</v>
      </c>
      <c r="I27" s="1">
        <v>1766.6</v>
      </c>
      <c r="J27" s="1">
        <v>1752.98</v>
      </c>
      <c r="K27" s="1" t="s">
        <v>75</v>
      </c>
      <c r="L27" s="1">
        <v>22</v>
      </c>
      <c r="M27" s="1" t="s">
        <v>76</v>
      </c>
      <c r="N27" s="1" t="s">
        <v>75</v>
      </c>
      <c r="O27" s="1">
        <f t="shared" si="0"/>
        <v>14</v>
      </c>
      <c r="P27" s="1">
        <v>5</v>
      </c>
      <c r="T27" s="2"/>
    </row>
    <row r="28" spans="1:20" x14ac:dyDescent="0.2">
      <c r="A28" s="1">
        <v>2023</v>
      </c>
      <c r="B28" s="1" t="s">
        <v>27</v>
      </c>
      <c r="C28" s="1" t="s">
        <v>6</v>
      </c>
      <c r="D28" s="1">
        <v>2002</v>
      </c>
      <c r="E28" s="1">
        <v>3</v>
      </c>
      <c r="F28" s="1">
        <v>10</v>
      </c>
      <c r="G28" s="1">
        <v>4</v>
      </c>
      <c r="H28" s="1">
        <v>0</v>
      </c>
      <c r="I28" s="1">
        <v>1933.08</v>
      </c>
      <c r="J28" s="1">
        <v>1731.06</v>
      </c>
      <c r="K28" s="1" t="s">
        <v>75</v>
      </c>
      <c r="L28" s="1">
        <v>20</v>
      </c>
      <c r="M28" s="1" t="s">
        <v>76</v>
      </c>
      <c r="N28" s="1" t="s">
        <v>75</v>
      </c>
      <c r="O28" s="1">
        <f t="shared" si="0"/>
        <v>14</v>
      </c>
      <c r="P28" s="1">
        <v>6</v>
      </c>
      <c r="T28" s="2"/>
    </row>
    <row r="29" spans="1:20" x14ac:dyDescent="0.2">
      <c r="A29" s="1">
        <v>2023</v>
      </c>
      <c r="B29" s="1" t="s">
        <v>53</v>
      </c>
      <c r="C29" s="1" t="s">
        <v>0</v>
      </c>
      <c r="D29" s="1">
        <v>2003</v>
      </c>
      <c r="E29" s="1">
        <v>4</v>
      </c>
      <c r="F29" s="1">
        <v>8</v>
      </c>
      <c r="G29" s="1">
        <v>6</v>
      </c>
      <c r="H29" s="1">
        <v>0</v>
      </c>
      <c r="I29" s="1">
        <v>1835.4</v>
      </c>
      <c r="J29" s="1">
        <v>1636.88</v>
      </c>
      <c r="K29" s="1" t="s">
        <v>75</v>
      </c>
      <c r="L29" s="1">
        <v>23</v>
      </c>
      <c r="M29" s="1" t="s">
        <v>76</v>
      </c>
      <c r="N29" s="1" t="s">
        <v>76</v>
      </c>
      <c r="O29" s="1">
        <f t="shared" si="0"/>
        <v>14</v>
      </c>
      <c r="P29" s="1">
        <v>4</v>
      </c>
      <c r="T29" s="2"/>
    </row>
    <row r="30" spans="1:20" x14ac:dyDescent="0.2">
      <c r="A30" s="1">
        <v>2023</v>
      </c>
      <c r="B30" s="1" t="s">
        <v>26</v>
      </c>
      <c r="C30" s="1" t="s">
        <v>1</v>
      </c>
      <c r="D30" s="1">
        <v>2003</v>
      </c>
      <c r="E30" s="1">
        <v>5</v>
      </c>
      <c r="F30" s="1">
        <v>7</v>
      </c>
      <c r="G30" s="1">
        <v>7</v>
      </c>
      <c r="H30" s="1">
        <v>0</v>
      </c>
      <c r="I30" s="1">
        <v>1727.32</v>
      </c>
      <c r="J30" s="1">
        <v>1782.28</v>
      </c>
      <c r="K30" s="1" t="s">
        <v>75</v>
      </c>
      <c r="L30" s="1">
        <v>7</v>
      </c>
      <c r="M30" s="1" t="s">
        <v>76</v>
      </c>
      <c r="N30" s="1" t="s">
        <v>76</v>
      </c>
      <c r="O30" s="1">
        <f t="shared" si="0"/>
        <v>14</v>
      </c>
      <c r="P30" s="1">
        <v>8</v>
      </c>
      <c r="T30" s="2"/>
    </row>
    <row r="31" spans="1:20" x14ac:dyDescent="0.2">
      <c r="A31" s="1">
        <v>2023</v>
      </c>
      <c r="B31" s="1" t="s">
        <v>35</v>
      </c>
      <c r="C31" s="1" t="s">
        <v>10</v>
      </c>
      <c r="D31" s="1">
        <v>2002</v>
      </c>
      <c r="E31" s="1">
        <v>6</v>
      </c>
      <c r="F31" s="1">
        <v>7</v>
      </c>
      <c r="G31" s="1">
        <v>7</v>
      </c>
      <c r="H31" s="1">
        <v>0</v>
      </c>
      <c r="I31" s="1">
        <v>1687.16</v>
      </c>
      <c r="J31" s="1">
        <v>1563.44</v>
      </c>
      <c r="K31" s="1" t="s">
        <v>75</v>
      </c>
      <c r="L31" s="1">
        <v>9</v>
      </c>
      <c r="M31" s="1" t="s">
        <v>76</v>
      </c>
      <c r="N31" s="1" t="s">
        <v>76</v>
      </c>
      <c r="O31" s="1">
        <f t="shared" si="0"/>
        <v>14</v>
      </c>
      <c r="P31" s="1">
        <v>11</v>
      </c>
      <c r="T31" s="2"/>
    </row>
    <row r="32" spans="1:20" x14ac:dyDescent="0.2">
      <c r="A32" s="1">
        <v>2023</v>
      </c>
      <c r="B32" s="1" t="s">
        <v>41</v>
      </c>
      <c r="C32" s="1" t="s">
        <v>8</v>
      </c>
      <c r="D32" s="1">
        <v>2003</v>
      </c>
      <c r="E32" s="1">
        <v>7</v>
      </c>
      <c r="F32" s="1">
        <v>7</v>
      </c>
      <c r="G32" s="1">
        <v>7</v>
      </c>
      <c r="H32" s="1">
        <v>0</v>
      </c>
      <c r="I32" s="1">
        <v>1675.3</v>
      </c>
      <c r="J32" s="1">
        <v>1694.26</v>
      </c>
      <c r="K32" s="1" t="s">
        <v>76</v>
      </c>
      <c r="L32" s="1">
        <v>14</v>
      </c>
      <c r="M32" s="1" t="s">
        <v>76</v>
      </c>
      <c r="N32" s="1" t="s">
        <v>76</v>
      </c>
      <c r="O32" s="1">
        <f t="shared" si="0"/>
        <v>14</v>
      </c>
      <c r="P32" s="1">
        <v>3</v>
      </c>
      <c r="T32" s="2"/>
    </row>
    <row r="33" spans="1:20" x14ac:dyDescent="0.2">
      <c r="A33" s="1">
        <v>2023</v>
      </c>
      <c r="B33" s="1" t="s">
        <v>24</v>
      </c>
      <c r="C33" s="1" t="s">
        <v>2</v>
      </c>
      <c r="D33" s="1">
        <v>2012</v>
      </c>
      <c r="E33" s="1">
        <v>8</v>
      </c>
      <c r="F33" s="1">
        <v>7</v>
      </c>
      <c r="G33" s="1">
        <v>7</v>
      </c>
      <c r="H33" s="1">
        <v>0</v>
      </c>
      <c r="I33" s="1">
        <v>1627.78</v>
      </c>
      <c r="J33" s="1">
        <v>1703.96</v>
      </c>
      <c r="K33" s="1" t="s">
        <v>76</v>
      </c>
      <c r="L33" s="1">
        <v>8</v>
      </c>
      <c r="M33" s="1" t="s">
        <v>76</v>
      </c>
      <c r="N33" s="1" t="s">
        <v>76</v>
      </c>
      <c r="O33" s="1">
        <f t="shared" si="0"/>
        <v>14</v>
      </c>
      <c r="P33" s="1">
        <v>10</v>
      </c>
      <c r="T33" s="2"/>
    </row>
    <row r="34" spans="1:20" x14ac:dyDescent="0.2">
      <c r="A34" s="1">
        <v>2023</v>
      </c>
      <c r="B34" s="1" t="s">
        <v>55</v>
      </c>
      <c r="C34" s="1" t="s">
        <v>3</v>
      </c>
      <c r="D34" s="1">
        <v>2001</v>
      </c>
      <c r="E34" s="1">
        <v>9</v>
      </c>
      <c r="F34" s="1">
        <v>5</v>
      </c>
      <c r="G34" s="1">
        <v>9</v>
      </c>
      <c r="H34" s="1">
        <v>0</v>
      </c>
      <c r="I34" s="1">
        <v>1617.82</v>
      </c>
      <c r="J34" s="1">
        <v>1811.72</v>
      </c>
      <c r="K34" s="1" t="s">
        <v>76</v>
      </c>
      <c r="L34" s="1">
        <v>27</v>
      </c>
      <c r="M34" s="1" t="s">
        <v>76</v>
      </c>
      <c r="N34" s="1" t="s">
        <v>76</v>
      </c>
      <c r="O34" s="1">
        <f t="shared" si="0"/>
        <v>14</v>
      </c>
      <c r="P34" s="1">
        <v>12</v>
      </c>
      <c r="T34" s="2"/>
    </row>
    <row r="35" spans="1:20" x14ac:dyDescent="0.2">
      <c r="A35" s="1">
        <v>2023</v>
      </c>
      <c r="B35" s="1" t="s">
        <v>30</v>
      </c>
      <c r="C35" s="1" t="s">
        <v>4</v>
      </c>
      <c r="D35" s="1">
        <v>2001</v>
      </c>
      <c r="E35" s="1">
        <v>10</v>
      </c>
      <c r="F35" s="1">
        <v>5</v>
      </c>
      <c r="G35" s="1">
        <v>9</v>
      </c>
      <c r="H35" s="1">
        <v>0</v>
      </c>
      <c r="I35" s="1">
        <v>1570.9</v>
      </c>
      <c r="J35" s="1">
        <v>1643.52</v>
      </c>
      <c r="K35" s="1" t="s">
        <v>76</v>
      </c>
      <c r="L35" s="1">
        <v>17</v>
      </c>
      <c r="M35" s="1" t="s">
        <v>76</v>
      </c>
      <c r="N35" s="1" t="s">
        <v>76</v>
      </c>
      <c r="O35" s="1">
        <f t="shared" si="0"/>
        <v>14</v>
      </c>
      <c r="P35" s="1">
        <v>2</v>
      </c>
      <c r="T35" s="2"/>
    </row>
    <row r="36" spans="1:20" x14ac:dyDescent="0.2">
      <c r="A36" s="1">
        <v>2023</v>
      </c>
      <c r="B36" s="1" t="s">
        <v>54</v>
      </c>
      <c r="C36" s="1" t="s">
        <v>11</v>
      </c>
      <c r="D36" s="1">
        <v>2008</v>
      </c>
      <c r="E36" s="1">
        <v>11</v>
      </c>
      <c r="F36" s="1">
        <v>7</v>
      </c>
      <c r="G36" s="1">
        <v>7</v>
      </c>
      <c r="H36" s="1">
        <v>0</v>
      </c>
      <c r="I36" s="1">
        <v>1627.52</v>
      </c>
      <c r="J36" s="1">
        <v>1718.08</v>
      </c>
      <c r="K36" s="1" t="s">
        <v>76</v>
      </c>
      <c r="L36" s="1">
        <v>28</v>
      </c>
      <c r="M36" s="1" t="s">
        <v>76</v>
      </c>
      <c r="N36" s="1" t="s">
        <v>76</v>
      </c>
      <c r="O36" s="1">
        <f t="shared" si="0"/>
        <v>14</v>
      </c>
      <c r="P36" s="1">
        <v>7</v>
      </c>
      <c r="T36" s="2"/>
    </row>
    <row r="37" spans="1:20" x14ac:dyDescent="0.2">
      <c r="A37" s="1">
        <v>2023</v>
      </c>
      <c r="B37" s="1" t="s">
        <v>31</v>
      </c>
      <c r="C37" s="1" t="s">
        <v>7</v>
      </c>
      <c r="D37" s="1">
        <v>2008</v>
      </c>
      <c r="E37" s="1">
        <v>12</v>
      </c>
      <c r="F37" s="1">
        <v>6</v>
      </c>
      <c r="G37" s="1">
        <v>8</v>
      </c>
      <c r="H37" s="1">
        <v>0</v>
      </c>
      <c r="I37" s="1">
        <v>1574.18</v>
      </c>
      <c r="J37" s="1">
        <v>1567.4</v>
      </c>
      <c r="K37" s="1" t="s">
        <v>76</v>
      </c>
      <c r="L37" s="1">
        <v>11</v>
      </c>
      <c r="M37" s="1" t="s">
        <v>76</v>
      </c>
      <c r="N37" s="1" t="s">
        <v>76</v>
      </c>
      <c r="O37" s="1">
        <f t="shared" si="0"/>
        <v>14</v>
      </c>
      <c r="P37" s="1">
        <v>1</v>
      </c>
      <c r="T37" s="2"/>
    </row>
    <row r="38" spans="1:20" x14ac:dyDescent="0.2">
      <c r="A38" s="1">
        <v>2022</v>
      </c>
      <c r="B38" s="1" t="s">
        <v>30</v>
      </c>
      <c r="C38" s="1" t="s">
        <v>4</v>
      </c>
      <c r="D38" s="1">
        <v>2001</v>
      </c>
      <c r="E38" s="1">
        <v>1</v>
      </c>
      <c r="F38" s="1">
        <v>7</v>
      </c>
      <c r="G38" s="1">
        <v>7</v>
      </c>
      <c r="H38" s="1">
        <v>0</v>
      </c>
      <c r="I38" s="1">
        <v>1750.16</v>
      </c>
      <c r="J38" s="1">
        <v>1662.66</v>
      </c>
      <c r="K38" s="1" t="s">
        <v>75</v>
      </c>
      <c r="L38" s="1">
        <v>26</v>
      </c>
      <c r="M38" s="1" t="s">
        <v>75</v>
      </c>
      <c r="N38" s="1" t="s">
        <v>75</v>
      </c>
      <c r="O38" s="1">
        <f t="shared" si="0"/>
        <v>14</v>
      </c>
      <c r="P38" s="1">
        <v>4</v>
      </c>
    </row>
    <row r="39" spans="1:20" x14ac:dyDescent="0.2">
      <c r="A39" s="1">
        <v>2022</v>
      </c>
      <c r="B39" s="1" t="s">
        <v>31</v>
      </c>
      <c r="C39" s="1" t="s">
        <v>7</v>
      </c>
      <c r="D39" s="1">
        <v>2008</v>
      </c>
      <c r="E39" s="1">
        <v>2</v>
      </c>
      <c r="F39" s="1">
        <v>8</v>
      </c>
      <c r="G39" s="1">
        <v>6</v>
      </c>
      <c r="H39" s="1">
        <v>0</v>
      </c>
      <c r="I39" s="1">
        <v>1716.24</v>
      </c>
      <c r="J39" s="1">
        <v>1652.56</v>
      </c>
      <c r="K39" s="1" t="s">
        <v>75</v>
      </c>
      <c r="L39" s="1">
        <v>20</v>
      </c>
      <c r="M39" s="1" t="s">
        <v>76</v>
      </c>
      <c r="N39" s="1" t="s">
        <v>75</v>
      </c>
      <c r="O39" s="1">
        <f t="shared" si="0"/>
        <v>14</v>
      </c>
      <c r="P39" s="1">
        <v>3</v>
      </c>
    </row>
    <row r="40" spans="1:20" x14ac:dyDescent="0.2">
      <c r="A40" s="1">
        <v>2022</v>
      </c>
      <c r="B40" s="1" t="s">
        <v>29</v>
      </c>
      <c r="C40" s="1" t="s">
        <v>9</v>
      </c>
      <c r="D40" s="1">
        <v>2001</v>
      </c>
      <c r="E40" s="1">
        <v>3</v>
      </c>
      <c r="F40" s="1">
        <v>10</v>
      </c>
      <c r="G40" s="1">
        <v>4</v>
      </c>
      <c r="H40" s="1">
        <v>0</v>
      </c>
      <c r="I40" s="1">
        <v>1856.94</v>
      </c>
      <c r="J40" s="1">
        <v>1646.06</v>
      </c>
      <c r="K40" s="1" t="s">
        <v>75</v>
      </c>
      <c r="L40" s="1">
        <v>21</v>
      </c>
      <c r="M40" s="1" t="s">
        <v>76</v>
      </c>
      <c r="N40" s="1" t="s">
        <v>75</v>
      </c>
      <c r="O40" s="1">
        <f t="shared" si="0"/>
        <v>14</v>
      </c>
      <c r="P40" s="1">
        <v>5</v>
      </c>
    </row>
    <row r="41" spans="1:20" x14ac:dyDescent="0.2">
      <c r="A41" s="1">
        <v>2022</v>
      </c>
      <c r="B41" s="1" t="s">
        <v>41</v>
      </c>
      <c r="C41" s="1" t="s">
        <v>8</v>
      </c>
      <c r="D41" s="1">
        <v>2003</v>
      </c>
      <c r="E41" s="1">
        <v>4</v>
      </c>
      <c r="F41" s="1">
        <v>10</v>
      </c>
      <c r="G41" s="1">
        <v>4</v>
      </c>
      <c r="H41" s="1">
        <v>0</v>
      </c>
      <c r="I41" s="1">
        <v>1766.58</v>
      </c>
      <c r="J41" s="1">
        <v>1622.74</v>
      </c>
      <c r="K41" s="1" t="s">
        <v>75</v>
      </c>
      <c r="L41" s="1">
        <v>7</v>
      </c>
      <c r="M41" s="1" t="s">
        <v>76</v>
      </c>
      <c r="N41" s="1" t="s">
        <v>76</v>
      </c>
      <c r="O41" s="1">
        <f t="shared" si="0"/>
        <v>14</v>
      </c>
      <c r="P41" s="1">
        <v>6</v>
      </c>
    </row>
    <row r="42" spans="1:20" x14ac:dyDescent="0.2">
      <c r="A42" s="1">
        <v>2022</v>
      </c>
      <c r="B42" s="1" t="s">
        <v>35</v>
      </c>
      <c r="C42" s="1" t="s">
        <v>10</v>
      </c>
      <c r="D42" s="1">
        <v>2002</v>
      </c>
      <c r="E42" s="1">
        <v>5</v>
      </c>
      <c r="F42" s="1">
        <v>7</v>
      </c>
      <c r="G42" s="1">
        <v>7</v>
      </c>
      <c r="H42" s="1">
        <v>0</v>
      </c>
      <c r="I42" s="1">
        <v>1742.86</v>
      </c>
      <c r="J42" s="1">
        <v>1529.98</v>
      </c>
      <c r="K42" s="1" t="s">
        <v>75</v>
      </c>
      <c r="L42" s="1">
        <v>14</v>
      </c>
      <c r="M42" s="1" t="s">
        <v>76</v>
      </c>
      <c r="N42" s="1" t="s">
        <v>76</v>
      </c>
      <c r="O42" s="1">
        <f t="shared" si="0"/>
        <v>14</v>
      </c>
      <c r="P42" s="1">
        <v>7</v>
      </c>
    </row>
    <row r="43" spans="1:20" x14ac:dyDescent="0.2">
      <c r="A43" s="1">
        <v>2022</v>
      </c>
      <c r="B43" s="1" t="s">
        <v>27</v>
      </c>
      <c r="C43" s="1" t="s">
        <v>6</v>
      </c>
      <c r="D43" s="1">
        <v>2002</v>
      </c>
      <c r="E43" s="1">
        <v>6</v>
      </c>
      <c r="F43" s="1">
        <v>7</v>
      </c>
      <c r="G43" s="1">
        <v>7</v>
      </c>
      <c r="H43" s="1">
        <v>0</v>
      </c>
      <c r="I43" s="1">
        <v>1846.54</v>
      </c>
      <c r="J43" s="1">
        <v>1879.38</v>
      </c>
      <c r="K43" s="1" t="s">
        <v>75</v>
      </c>
      <c r="L43" s="1">
        <v>47</v>
      </c>
      <c r="M43" s="1" t="s">
        <v>76</v>
      </c>
      <c r="N43" s="1" t="s">
        <v>76</v>
      </c>
      <c r="O43" s="1">
        <f t="shared" si="0"/>
        <v>14</v>
      </c>
      <c r="P43" s="1">
        <v>2</v>
      </c>
    </row>
    <row r="44" spans="1:20" x14ac:dyDescent="0.2">
      <c r="A44" s="1">
        <v>2022</v>
      </c>
      <c r="B44" s="1" t="s">
        <v>57</v>
      </c>
      <c r="C44" s="1" t="s">
        <v>11</v>
      </c>
      <c r="D44" s="1">
        <v>2008</v>
      </c>
      <c r="E44" s="1">
        <v>7</v>
      </c>
      <c r="F44" s="1">
        <v>5</v>
      </c>
      <c r="G44" s="1">
        <v>9</v>
      </c>
      <c r="H44" s="1">
        <v>0</v>
      </c>
      <c r="I44" s="1">
        <v>1322.28</v>
      </c>
      <c r="J44" s="1">
        <v>1613.92</v>
      </c>
      <c r="K44" s="1" t="s">
        <v>76</v>
      </c>
      <c r="L44" s="1">
        <v>52</v>
      </c>
      <c r="M44" s="1" t="s">
        <v>76</v>
      </c>
      <c r="N44" s="1" t="s">
        <v>76</v>
      </c>
      <c r="O44" s="1">
        <f t="shared" si="0"/>
        <v>14</v>
      </c>
      <c r="P44" s="1">
        <v>9</v>
      </c>
    </row>
    <row r="45" spans="1:20" x14ac:dyDescent="0.2">
      <c r="A45" s="1">
        <v>2022</v>
      </c>
      <c r="B45" s="1" t="s">
        <v>24</v>
      </c>
      <c r="C45" s="1" t="s">
        <v>2</v>
      </c>
      <c r="D45" s="1">
        <v>2012</v>
      </c>
      <c r="E45" s="1">
        <v>8</v>
      </c>
      <c r="F45" s="1">
        <v>5</v>
      </c>
      <c r="G45" s="1">
        <v>9</v>
      </c>
      <c r="H45" s="1">
        <v>0</v>
      </c>
      <c r="I45" s="1">
        <v>1795.96</v>
      </c>
      <c r="J45" s="1">
        <v>1837.28</v>
      </c>
      <c r="K45" s="1" t="s">
        <v>76</v>
      </c>
      <c r="L45" s="1">
        <v>15</v>
      </c>
      <c r="M45" s="1" t="s">
        <v>76</v>
      </c>
      <c r="N45" s="1" t="s">
        <v>76</v>
      </c>
      <c r="O45" s="1">
        <f t="shared" si="0"/>
        <v>14</v>
      </c>
      <c r="P45" s="1">
        <v>12</v>
      </c>
    </row>
    <row r="46" spans="1:20" x14ac:dyDescent="0.2">
      <c r="A46" s="1">
        <v>2022</v>
      </c>
      <c r="B46" s="1" t="s">
        <v>55</v>
      </c>
      <c r="C46" s="1" t="s">
        <v>3</v>
      </c>
      <c r="D46" s="1">
        <v>2001</v>
      </c>
      <c r="E46" s="1">
        <v>9</v>
      </c>
      <c r="F46" s="1">
        <v>7</v>
      </c>
      <c r="G46" s="1">
        <v>7</v>
      </c>
      <c r="H46" s="1">
        <v>0</v>
      </c>
      <c r="I46" s="1">
        <v>1605.42</v>
      </c>
      <c r="J46" s="1">
        <v>1711.78</v>
      </c>
      <c r="K46" s="1" t="s">
        <v>76</v>
      </c>
      <c r="L46" s="1">
        <v>42</v>
      </c>
      <c r="M46" s="1" t="s">
        <v>76</v>
      </c>
      <c r="N46" s="1" t="s">
        <v>76</v>
      </c>
      <c r="O46" s="1">
        <f t="shared" si="0"/>
        <v>14</v>
      </c>
      <c r="P46" s="1">
        <v>10</v>
      </c>
    </row>
    <row r="47" spans="1:20" x14ac:dyDescent="0.2">
      <c r="A47" s="1">
        <v>2022</v>
      </c>
      <c r="B47" s="1" t="s">
        <v>28</v>
      </c>
      <c r="C47" s="1" t="s">
        <v>5</v>
      </c>
      <c r="D47" s="1">
        <v>2014</v>
      </c>
      <c r="E47" s="1">
        <v>10</v>
      </c>
      <c r="F47" s="1">
        <v>6</v>
      </c>
      <c r="G47" s="1">
        <v>8</v>
      </c>
      <c r="H47" s="1">
        <v>0</v>
      </c>
      <c r="I47" s="1">
        <v>1725.74</v>
      </c>
      <c r="J47" s="1">
        <v>1669.14</v>
      </c>
      <c r="K47" s="1" t="s">
        <v>76</v>
      </c>
      <c r="L47" s="1">
        <v>28</v>
      </c>
      <c r="M47" s="1" t="s">
        <v>76</v>
      </c>
      <c r="N47" s="1" t="s">
        <v>76</v>
      </c>
      <c r="O47" s="1">
        <f t="shared" si="0"/>
        <v>14</v>
      </c>
      <c r="P47" s="1">
        <v>11</v>
      </c>
    </row>
    <row r="48" spans="1:20" x14ac:dyDescent="0.2">
      <c r="A48" s="1">
        <v>2022</v>
      </c>
      <c r="B48" s="1" t="s">
        <v>26</v>
      </c>
      <c r="C48" s="1" t="s">
        <v>1</v>
      </c>
      <c r="D48" s="1">
        <v>2003</v>
      </c>
      <c r="E48" s="1">
        <v>11</v>
      </c>
      <c r="F48" s="1">
        <v>6</v>
      </c>
      <c r="G48" s="1">
        <v>8</v>
      </c>
      <c r="H48" s="1">
        <v>0</v>
      </c>
      <c r="I48" s="1">
        <v>1530.32</v>
      </c>
      <c r="J48" s="1">
        <v>1711.42</v>
      </c>
      <c r="K48" s="1" t="s">
        <v>76</v>
      </c>
      <c r="L48" s="1">
        <v>12</v>
      </c>
      <c r="M48" s="1" t="s">
        <v>76</v>
      </c>
      <c r="N48" s="1" t="s">
        <v>76</v>
      </c>
      <c r="O48" s="1">
        <f t="shared" si="0"/>
        <v>14</v>
      </c>
      <c r="P48" s="1">
        <v>1</v>
      </c>
    </row>
    <row r="49" spans="1:16" x14ac:dyDescent="0.2">
      <c r="A49" s="1">
        <v>2022</v>
      </c>
      <c r="B49" s="1" t="s">
        <v>56</v>
      </c>
      <c r="C49" s="1" t="s">
        <v>0</v>
      </c>
      <c r="D49" s="1">
        <v>2003</v>
      </c>
      <c r="E49" s="1">
        <v>12</v>
      </c>
      <c r="F49" s="1">
        <v>6</v>
      </c>
      <c r="G49" s="1">
        <v>8</v>
      </c>
      <c r="H49" s="1">
        <v>0</v>
      </c>
      <c r="I49" s="1">
        <v>1507.28</v>
      </c>
      <c r="J49" s="1">
        <v>1629.4</v>
      </c>
      <c r="K49" s="1" t="s">
        <v>76</v>
      </c>
      <c r="L49" s="1">
        <v>21</v>
      </c>
      <c r="M49" s="1" t="s">
        <v>76</v>
      </c>
      <c r="N49" s="1" t="s">
        <v>76</v>
      </c>
      <c r="O49" s="1">
        <f t="shared" si="0"/>
        <v>14</v>
      </c>
      <c r="P49" s="1">
        <v>8</v>
      </c>
    </row>
    <row r="50" spans="1:16" x14ac:dyDescent="0.2">
      <c r="A50" s="1">
        <v>2021</v>
      </c>
      <c r="B50" s="1" t="s">
        <v>32</v>
      </c>
      <c r="C50" s="1" t="s">
        <v>6</v>
      </c>
      <c r="D50" s="1">
        <v>2002</v>
      </c>
      <c r="E50" s="1">
        <v>1</v>
      </c>
      <c r="F50" s="1">
        <v>9</v>
      </c>
      <c r="G50" s="1">
        <v>5</v>
      </c>
      <c r="H50" s="1">
        <v>0</v>
      </c>
      <c r="I50" s="1">
        <v>1910.3</v>
      </c>
      <c r="J50" s="1">
        <v>1843.72</v>
      </c>
      <c r="K50" s="1" t="s">
        <v>75</v>
      </c>
      <c r="L50" s="1">
        <v>41</v>
      </c>
      <c r="M50" s="1" t="s">
        <v>75</v>
      </c>
      <c r="N50" s="1" t="s">
        <v>75</v>
      </c>
      <c r="O50" s="1">
        <f t="shared" si="0"/>
        <v>14</v>
      </c>
      <c r="P50" s="1">
        <v>10</v>
      </c>
    </row>
    <row r="51" spans="1:16" x14ac:dyDescent="0.2">
      <c r="A51" s="1">
        <v>2021</v>
      </c>
      <c r="B51" s="1" t="s">
        <v>33</v>
      </c>
      <c r="C51" s="1" t="s">
        <v>7</v>
      </c>
      <c r="D51" s="1">
        <v>2008</v>
      </c>
      <c r="E51" s="1">
        <v>2</v>
      </c>
      <c r="F51" s="1">
        <v>8</v>
      </c>
      <c r="G51" s="1">
        <v>6</v>
      </c>
      <c r="H51" s="1">
        <v>0</v>
      </c>
      <c r="I51" s="1">
        <v>1762.22</v>
      </c>
      <c r="J51" s="1">
        <v>1703.64</v>
      </c>
      <c r="K51" s="1" t="s">
        <v>75</v>
      </c>
      <c r="L51" s="1">
        <v>30</v>
      </c>
      <c r="M51" s="1" t="s">
        <v>76</v>
      </c>
      <c r="N51" s="1" t="s">
        <v>75</v>
      </c>
      <c r="O51" s="1">
        <f t="shared" si="0"/>
        <v>14</v>
      </c>
      <c r="P51" s="1">
        <v>2</v>
      </c>
    </row>
    <row r="52" spans="1:16" x14ac:dyDescent="0.2">
      <c r="A52" s="1">
        <v>2021</v>
      </c>
      <c r="B52" s="1" t="s">
        <v>34</v>
      </c>
      <c r="C52" s="1" t="s">
        <v>0</v>
      </c>
      <c r="D52" s="1">
        <v>2003</v>
      </c>
      <c r="E52" s="1">
        <v>3</v>
      </c>
      <c r="F52" s="1">
        <v>9</v>
      </c>
      <c r="G52" s="1">
        <v>5</v>
      </c>
      <c r="H52" s="1">
        <v>0</v>
      </c>
      <c r="I52" s="1">
        <v>1875.24</v>
      </c>
      <c r="J52" s="1">
        <v>1811.7</v>
      </c>
      <c r="K52" s="1" t="s">
        <v>75</v>
      </c>
      <c r="L52" s="1">
        <v>26</v>
      </c>
      <c r="M52" s="1" t="s">
        <v>76</v>
      </c>
      <c r="N52" s="1" t="s">
        <v>75</v>
      </c>
      <c r="O52" s="1">
        <f t="shared" si="0"/>
        <v>14</v>
      </c>
      <c r="P52" s="1">
        <v>9</v>
      </c>
    </row>
    <row r="53" spans="1:16" x14ac:dyDescent="0.2">
      <c r="A53" s="1">
        <v>2021</v>
      </c>
      <c r="B53" s="1" t="s">
        <v>24</v>
      </c>
      <c r="C53" s="1" t="s">
        <v>2</v>
      </c>
      <c r="D53" s="1">
        <v>2012</v>
      </c>
      <c r="E53" s="1">
        <v>4</v>
      </c>
      <c r="F53" s="1">
        <v>8</v>
      </c>
      <c r="G53" s="1">
        <v>6</v>
      </c>
      <c r="H53" s="1">
        <v>0</v>
      </c>
      <c r="I53" s="1">
        <v>1754.32</v>
      </c>
      <c r="J53" s="1">
        <v>1717.3</v>
      </c>
      <c r="K53" s="1" t="s">
        <v>75</v>
      </c>
      <c r="L53" s="1">
        <v>9</v>
      </c>
      <c r="M53" s="1" t="s">
        <v>76</v>
      </c>
      <c r="N53" s="1" t="s">
        <v>76</v>
      </c>
      <c r="O53" s="1">
        <f t="shared" si="0"/>
        <v>14</v>
      </c>
      <c r="P53" s="1">
        <v>12</v>
      </c>
    </row>
    <row r="54" spans="1:16" x14ac:dyDescent="0.2">
      <c r="A54" s="1">
        <v>2021</v>
      </c>
      <c r="B54" s="1" t="s">
        <v>29</v>
      </c>
      <c r="C54" s="1" t="s">
        <v>9</v>
      </c>
      <c r="D54" s="1">
        <v>2001</v>
      </c>
      <c r="E54" s="1">
        <v>5</v>
      </c>
      <c r="F54" s="1">
        <v>7</v>
      </c>
      <c r="G54" s="1">
        <v>7</v>
      </c>
      <c r="H54" s="1">
        <v>0</v>
      </c>
      <c r="I54" s="1">
        <v>1828.98</v>
      </c>
      <c r="J54" s="1">
        <v>1780.8</v>
      </c>
      <c r="K54" s="1" t="s">
        <v>75</v>
      </c>
      <c r="L54" s="1">
        <v>42</v>
      </c>
      <c r="M54" s="1" t="s">
        <v>76</v>
      </c>
      <c r="N54" s="1" t="s">
        <v>76</v>
      </c>
      <c r="O54" s="1">
        <f t="shared" si="0"/>
        <v>14</v>
      </c>
      <c r="P54" s="1">
        <v>1</v>
      </c>
    </row>
    <row r="55" spans="1:16" x14ac:dyDescent="0.2">
      <c r="A55" s="1">
        <v>2021</v>
      </c>
      <c r="B55" s="1" t="s">
        <v>35</v>
      </c>
      <c r="C55" s="1" t="s">
        <v>10</v>
      </c>
      <c r="D55" s="1">
        <v>2002</v>
      </c>
      <c r="E55" s="1">
        <v>6</v>
      </c>
      <c r="F55" s="1">
        <v>8</v>
      </c>
      <c r="G55" s="1">
        <v>6</v>
      </c>
      <c r="H55" s="1">
        <v>0</v>
      </c>
      <c r="I55" s="1">
        <v>1698.04</v>
      </c>
      <c r="J55" s="1">
        <v>1706.46</v>
      </c>
      <c r="K55" s="1" t="s">
        <v>75</v>
      </c>
      <c r="L55" s="1">
        <v>23</v>
      </c>
      <c r="M55" s="1" t="s">
        <v>76</v>
      </c>
      <c r="N55" s="1" t="s">
        <v>76</v>
      </c>
      <c r="O55" s="1">
        <f t="shared" si="0"/>
        <v>14</v>
      </c>
      <c r="P55" s="1">
        <v>4</v>
      </c>
    </row>
    <row r="56" spans="1:16" x14ac:dyDescent="0.2">
      <c r="A56" s="1">
        <v>2021</v>
      </c>
      <c r="B56" s="1" t="s">
        <v>55</v>
      </c>
      <c r="C56" s="1" t="s">
        <v>3</v>
      </c>
      <c r="D56" s="1">
        <v>2001</v>
      </c>
      <c r="E56" s="1">
        <v>7</v>
      </c>
      <c r="F56" s="1">
        <v>7</v>
      </c>
      <c r="G56" s="1">
        <v>7</v>
      </c>
      <c r="H56" s="1">
        <v>0</v>
      </c>
      <c r="I56" s="1">
        <v>1713.1</v>
      </c>
      <c r="J56" s="1">
        <v>1680.78</v>
      </c>
      <c r="K56" s="1" t="s">
        <v>76</v>
      </c>
      <c r="L56" s="1">
        <v>23</v>
      </c>
      <c r="M56" s="1" t="s">
        <v>76</v>
      </c>
      <c r="N56" s="1" t="s">
        <v>76</v>
      </c>
      <c r="O56" s="1">
        <f t="shared" si="0"/>
        <v>14</v>
      </c>
      <c r="P56" s="1">
        <v>8</v>
      </c>
    </row>
    <row r="57" spans="1:16" x14ac:dyDescent="0.2">
      <c r="A57" s="1">
        <v>2021</v>
      </c>
      <c r="B57" s="1" t="s">
        <v>30</v>
      </c>
      <c r="C57" s="1" t="s">
        <v>4</v>
      </c>
      <c r="D57" s="1">
        <v>2001</v>
      </c>
      <c r="E57" s="1">
        <v>8</v>
      </c>
      <c r="F57" s="1">
        <v>5</v>
      </c>
      <c r="G57" s="1">
        <v>9</v>
      </c>
      <c r="H57" s="1">
        <v>0</v>
      </c>
      <c r="I57" s="1">
        <v>1721.42</v>
      </c>
      <c r="J57" s="1">
        <v>1779.56</v>
      </c>
      <c r="K57" s="1" t="s">
        <v>76</v>
      </c>
      <c r="L57" s="1">
        <v>15</v>
      </c>
      <c r="M57" s="1" t="s">
        <v>76</v>
      </c>
      <c r="N57" s="1" t="s">
        <v>76</v>
      </c>
      <c r="O57" s="1">
        <f t="shared" si="0"/>
        <v>14</v>
      </c>
      <c r="P57" s="1">
        <v>5</v>
      </c>
    </row>
    <row r="58" spans="1:16" x14ac:dyDescent="0.2">
      <c r="A58" s="1">
        <v>2021</v>
      </c>
      <c r="B58" s="1" t="s">
        <v>26</v>
      </c>
      <c r="C58" s="1" t="s">
        <v>1</v>
      </c>
      <c r="D58" s="1">
        <v>2003</v>
      </c>
      <c r="E58" s="1">
        <v>9</v>
      </c>
      <c r="F58" s="1">
        <v>7</v>
      </c>
      <c r="G58" s="1">
        <v>7</v>
      </c>
      <c r="H58" s="1">
        <v>0</v>
      </c>
      <c r="I58" s="1">
        <v>1764.08</v>
      </c>
      <c r="J58" s="1">
        <v>1701.36</v>
      </c>
      <c r="K58" s="1" t="s">
        <v>76</v>
      </c>
      <c r="L58" s="1">
        <v>13</v>
      </c>
      <c r="M58" s="1" t="s">
        <v>76</v>
      </c>
      <c r="N58" s="1" t="s">
        <v>76</v>
      </c>
      <c r="O58" s="1">
        <f t="shared" si="0"/>
        <v>14</v>
      </c>
      <c r="P58" s="1">
        <v>7</v>
      </c>
    </row>
    <row r="59" spans="1:16" x14ac:dyDescent="0.2">
      <c r="A59" s="1">
        <v>2021</v>
      </c>
      <c r="B59" s="1" t="s">
        <v>41</v>
      </c>
      <c r="C59" s="1" t="s">
        <v>8</v>
      </c>
      <c r="D59" s="1">
        <v>2003</v>
      </c>
      <c r="E59" s="1">
        <v>10</v>
      </c>
      <c r="F59" s="1">
        <v>7</v>
      </c>
      <c r="G59" s="1">
        <v>7</v>
      </c>
      <c r="H59" s="1">
        <v>0</v>
      </c>
      <c r="I59" s="1">
        <v>1817.78</v>
      </c>
      <c r="J59" s="1">
        <v>1868.98</v>
      </c>
      <c r="K59" s="1" t="s">
        <v>76</v>
      </c>
      <c r="L59" s="1">
        <v>11</v>
      </c>
      <c r="M59" s="1" t="s">
        <v>76</v>
      </c>
      <c r="N59" s="1" t="s">
        <v>76</v>
      </c>
      <c r="O59" s="1">
        <f t="shared" si="0"/>
        <v>14</v>
      </c>
      <c r="P59" s="1">
        <v>11</v>
      </c>
    </row>
    <row r="60" spans="1:16" x14ac:dyDescent="0.2">
      <c r="A60" s="1">
        <v>2021</v>
      </c>
      <c r="B60" s="1" t="s">
        <v>58</v>
      </c>
      <c r="C60" s="1" t="s">
        <v>5</v>
      </c>
      <c r="D60" s="1">
        <v>2014</v>
      </c>
      <c r="E60" s="1">
        <v>11</v>
      </c>
      <c r="F60" s="1">
        <v>5</v>
      </c>
      <c r="G60" s="1">
        <v>9</v>
      </c>
      <c r="H60" s="1">
        <v>0</v>
      </c>
      <c r="I60" s="1">
        <v>1663.28</v>
      </c>
      <c r="J60" s="1">
        <v>1816.04</v>
      </c>
      <c r="K60" s="1" t="s">
        <v>76</v>
      </c>
      <c r="L60" s="1">
        <v>45</v>
      </c>
      <c r="M60" s="1" t="s">
        <v>76</v>
      </c>
      <c r="N60" s="1" t="s">
        <v>76</v>
      </c>
      <c r="O60" s="1">
        <f t="shared" si="0"/>
        <v>14</v>
      </c>
      <c r="P60" s="1">
        <v>3</v>
      </c>
    </row>
    <row r="61" spans="1:16" x14ac:dyDescent="0.2">
      <c r="A61" s="1">
        <v>2021</v>
      </c>
      <c r="B61" s="1" t="s">
        <v>59</v>
      </c>
      <c r="C61" s="1" t="s">
        <v>11</v>
      </c>
      <c r="D61" s="1">
        <v>2008</v>
      </c>
      <c r="E61" s="1">
        <v>12</v>
      </c>
      <c r="F61" s="1">
        <v>4</v>
      </c>
      <c r="G61" s="1">
        <v>10</v>
      </c>
      <c r="H61" s="1">
        <v>0</v>
      </c>
      <c r="I61" s="1">
        <v>1606.44</v>
      </c>
      <c r="J61" s="1">
        <v>1704.86</v>
      </c>
      <c r="K61" s="1" t="s">
        <v>76</v>
      </c>
      <c r="L61" s="1">
        <v>48</v>
      </c>
      <c r="M61" s="1" t="s">
        <v>76</v>
      </c>
      <c r="N61" s="1" t="s">
        <v>76</v>
      </c>
      <c r="O61" s="1">
        <f t="shared" si="0"/>
        <v>14</v>
      </c>
      <c r="P61" s="1">
        <v>6</v>
      </c>
    </row>
    <row r="62" spans="1:16" x14ac:dyDescent="0.2">
      <c r="A62" s="1">
        <v>2020</v>
      </c>
      <c r="B62" s="1" t="s">
        <v>33</v>
      </c>
      <c r="C62" s="1" t="s">
        <v>7</v>
      </c>
      <c r="D62" s="1">
        <v>2008</v>
      </c>
      <c r="E62" s="1">
        <v>1</v>
      </c>
      <c r="F62" s="1">
        <v>9</v>
      </c>
      <c r="G62" s="1">
        <v>5</v>
      </c>
      <c r="I62" s="1">
        <v>1461.56</v>
      </c>
      <c r="J62" s="1">
        <v>1295.98</v>
      </c>
      <c r="K62" s="1" t="s">
        <v>75</v>
      </c>
      <c r="L62" s="1">
        <v>18</v>
      </c>
      <c r="M62" s="1" t="s">
        <v>75</v>
      </c>
      <c r="N62" s="1" t="s">
        <v>75</v>
      </c>
      <c r="O62" s="1">
        <f t="shared" si="0"/>
        <v>14</v>
      </c>
      <c r="P62" s="1">
        <v>4</v>
      </c>
    </row>
    <row r="63" spans="1:16" x14ac:dyDescent="0.2">
      <c r="A63" s="1">
        <v>2020</v>
      </c>
      <c r="B63" s="1" t="s">
        <v>30</v>
      </c>
      <c r="C63" s="1" t="s">
        <v>4</v>
      </c>
      <c r="D63" s="1">
        <v>2001</v>
      </c>
      <c r="E63" s="1">
        <v>2</v>
      </c>
      <c r="F63" s="1">
        <v>9</v>
      </c>
      <c r="G63" s="1">
        <v>5</v>
      </c>
      <c r="I63" s="1">
        <v>1397.44</v>
      </c>
      <c r="J63" s="1">
        <v>1339.66</v>
      </c>
      <c r="K63" s="1" t="s">
        <v>75</v>
      </c>
      <c r="L63" s="1">
        <v>28</v>
      </c>
      <c r="M63" s="1" t="s">
        <v>76</v>
      </c>
      <c r="N63" s="1" t="s">
        <v>75</v>
      </c>
      <c r="O63" s="1">
        <f t="shared" si="0"/>
        <v>14</v>
      </c>
      <c r="P63" s="1">
        <v>6</v>
      </c>
    </row>
    <row r="64" spans="1:16" x14ac:dyDescent="0.2">
      <c r="A64" s="1">
        <v>2020</v>
      </c>
      <c r="B64" s="1" t="s">
        <v>35</v>
      </c>
      <c r="C64" s="1" t="s">
        <v>10</v>
      </c>
      <c r="D64" s="1">
        <v>2002</v>
      </c>
      <c r="E64" s="1">
        <v>3</v>
      </c>
      <c r="F64" s="1">
        <v>9</v>
      </c>
      <c r="G64" s="1">
        <v>5</v>
      </c>
      <c r="I64" s="1">
        <v>1455.04</v>
      </c>
      <c r="J64" s="1">
        <v>1364.3</v>
      </c>
      <c r="K64" s="1" t="s">
        <v>75</v>
      </c>
      <c r="L64" s="1">
        <v>25</v>
      </c>
      <c r="M64" s="1" t="s">
        <v>76</v>
      </c>
      <c r="N64" s="1" t="s">
        <v>75</v>
      </c>
      <c r="O64" s="1">
        <f t="shared" si="0"/>
        <v>14</v>
      </c>
      <c r="P64" s="1">
        <v>8</v>
      </c>
    </row>
    <row r="65" spans="1:16" x14ac:dyDescent="0.2">
      <c r="A65" s="1">
        <v>2020</v>
      </c>
      <c r="B65" s="1" t="s">
        <v>29</v>
      </c>
      <c r="C65" s="1" t="s">
        <v>9</v>
      </c>
      <c r="D65" s="1">
        <v>2001</v>
      </c>
      <c r="E65" s="1">
        <v>4</v>
      </c>
      <c r="F65" s="1">
        <v>10</v>
      </c>
      <c r="G65" s="1">
        <v>4</v>
      </c>
      <c r="I65" s="1">
        <v>1444.1</v>
      </c>
      <c r="J65" s="1">
        <v>1345.46</v>
      </c>
      <c r="K65" s="1" t="s">
        <v>75</v>
      </c>
      <c r="L65" s="1">
        <v>40</v>
      </c>
      <c r="M65" s="1" t="s">
        <v>76</v>
      </c>
      <c r="N65" s="1" t="s">
        <v>76</v>
      </c>
      <c r="O65" s="1">
        <f t="shared" si="0"/>
        <v>14</v>
      </c>
      <c r="P65" s="1">
        <v>10</v>
      </c>
    </row>
    <row r="66" spans="1:16" x14ac:dyDescent="0.2">
      <c r="A66" s="1">
        <v>2020</v>
      </c>
      <c r="B66" s="1" t="s">
        <v>24</v>
      </c>
      <c r="C66" s="1" t="s">
        <v>2</v>
      </c>
      <c r="D66" s="1">
        <v>2012</v>
      </c>
      <c r="E66" s="1">
        <v>5</v>
      </c>
      <c r="F66" s="1">
        <v>8</v>
      </c>
      <c r="G66" s="1">
        <v>6</v>
      </c>
      <c r="I66" s="1">
        <v>1441.06</v>
      </c>
      <c r="J66" s="1">
        <v>1417.6</v>
      </c>
      <c r="K66" s="1" t="s">
        <v>75</v>
      </c>
      <c r="L66" s="1">
        <v>15</v>
      </c>
      <c r="M66" s="1" t="s">
        <v>76</v>
      </c>
      <c r="N66" s="1" t="s">
        <v>76</v>
      </c>
      <c r="O66" s="1">
        <f t="shared" si="0"/>
        <v>14</v>
      </c>
      <c r="P66" s="1">
        <v>7</v>
      </c>
    </row>
    <row r="67" spans="1:16" x14ac:dyDescent="0.2">
      <c r="A67" s="1">
        <v>2020</v>
      </c>
      <c r="B67" s="1" t="s">
        <v>61</v>
      </c>
      <c r="C67" s="1" t="s">
        <v>5</v>
      </c>
      <c r="D67" s="1">
        <v>2014</v>
      </c>
      <c r="E67" s="1">
        <v>6</v>
      </c>
      <c r="F67" s="1">
        <v>7</v>
      </c>
      <c r="G67" s="1">
        <v>7</v>
      </c>
      <c r="I67" s="1">
        <v>1487.08</v>
      </c>
      <c r="J67" s="1">
        <v>1490.26</v>
      </c>
      <c r="K67" s="1" t="s">
        <v>75</v>
      </c>
      <c r="L67" s="1">
        <v>49</v>
      </c>
      <c r="M67" s="1" t="s">
        <v>76</v>
      </c>
      <c r="N67" s="1" t="s">
        <v>76</v>
      </c>
      <c r="O67" s="1">
        <f t="shared" ref="O67:O130" si="1">F67+G67</f>
        <v>14</v>
      </c>
      <c r="P67" s="1">
        <v>11</v>
      </c>
    </row>
    <row r="68" spans="1:16" x14ac:dyDescent="0.2">
      <c r="A68" s="1">
        <v>2020</v>
      </c>
      <c r="B68" s="1" t="s">
        <v>60</v>
      </c>
      <c r="C68" s="1" t="s">
        <v>11</v>
      </c>
      <c r="D68" s="1">
        <v>2008</v>
      </c>
      <c r="E68" s="1">
        <v>7</v>
      </c>
      <c r="F68" s="1">
        <v>6</v>
      </c>
      <c r="G68" s="1">
        <v>8</v>
      </c>
      <c r="I68" s="1">
        <v>1300.1400000000001</v>
      </c>
      <c r="J68" s="1">
        <v>1332.2</v>
      </c>
      <c r="K68" s="1" t="s">
        <v>76</v>
      </c>
      <c r="L68" s="1">
        <v>55</v>
      </c>
      <c r="M68" s="1" t="s">
        <v>76</v>
      </c>
      <c r="N68" s="1" t="s">
        <v>76</v>
      </c>
      <c r="O68" s="1">
        <f t="shared" si="1"/>
        <v>14</v>
      </c>
      <c r="P68" s="1">
        <v>12</v>
      </c>
    </row>
    <row r="69" spans="1:16" x14ac:dyDescent="0.2">
      <c r="A69" s="1">
        <v>2020</v>
      </c>
      <c r="B69" s="1" t="s">
        <v>62</v>
      </c>
      <c r="C69" s="1" t="s">
        <v>3</v>
      </c>
      <c r="D69" s="1">
        <v>2001</v>
      </c>
      <c r="E69" s="1">
        <v>8</v>
      </c>
      <c r="F69" s="1">
        <v>7</v>
      </c>
      <c r="G69" s="1">
        <v>7</v>
      </c>
      <c r="I69" s="1">
        <v>1428.2</v>
      </c>
      <c r="J69" s="1">
        <v>1416.92</v>
      </c>
      <c r="K69" s="1" t="s">
        <v>76</v>
      </c>
      <c r="L69" s="1">
        <v>41</v>
      </c>
      <c r="M69" s="1" t="s">
        <v>76</v>
      </c>
      <c r="N69" s="1" t="s">
        <v>76</v>
      </c>
      <c r="O69" s="1">
        <f t="shared" si="1"/>
        <v>14</v>
      </c>
      <c r="P69" s="1">
        <v>9</v>
      </c>
    </row>
    <row r="70" spans="1:16" x14ac:dyDescent="0.2">
      <c r="A70" s="1">
        <v>2020</v>
      </c>
      <c r="B70" s="1" t="s">
        <v>34</v>
      </c>
      <c r="C70" s="1" t="s">
        <v>0</v>
      </c>
      <c r="D70" s="1">
        <v>2003</v>
      </c>
      <c r="E70" s="1">
        <v>9</v>
      </c>
      <c r="F70" s="1">
        <v>5</v>
      </c>
      <c r="G70" s="1">
        <v>9</v>
      </c>
      <c r="I70" s="1">
        <v>1258.6600000000001</v>
      </c>
      <c r="J70" s="1">
        <v>1324.56</v>
      </c>
      <c r="K70" s="1" t="s">
        <v>76</v>
      </c>
      <c r="L70" s="1">
        <v>26</v>
      </c>
      <c r="M70" s="1" t="s">
        <v>76</v>
      </c>
      <c r="N70" s="1" t="s">
        <v>76</v>
      </c>
      <c r="O70" s="1">
        <f t="shared" si="1"/>
        <v>14</v>
      </c>
      <c r="P70" s="1">
        <v>2</v>
      </c>
    </row>
    <row r="71" spans="1:16" x14ac:dyDescent="0.2">
      <c r="A71" s="1">
        <v>2020</v>
      </c>
      <c r="B71" s="1" t="s">
        <v>26</v>
      </c>
      <c r="C71" s="1" t="s">
        <v>1</v>
      </c>
      <c r="D71" s="1">
        <v>2003</v>
      </c>
      <c r="E71" s="1">
        <v>10</v>
      </c>
      <c r="F71" s="1">
        <v>6</v>
      </c>
      <c r="G71" s="1">
        <v>8</v>
      </c>
      <c r="I71" s="1">
        <v>1195.2</v>
      </c>
      <c r="J71" s="1">
        <v>1205.6400000000001</v>
      </c>
      <c r="K71" s="1" t="s">
        <v>76</v>
      </c>
      <c r="L71" s="1">
        <v>10</v>
      </c>
      <c r="M71" s="1" t="s">
        <v>76</v>
      </c>
      <c r="N71" s="1" t="s">
        <v>76</v>
      </c>
      <c r="O71" s="1">
        <f t="shared" si="1"/>
        <v>14</v>
      </c>
      <c r="P71" s="1">
        <v>5</v>
      </c>
    </row>
    <row r="72" spans="1:16" x14ac:dyDescent="0.2">
      <c r="A72" s="1">
        <v>2020</v>
      </c>
      <c r="B72" s="1" t="s">
        <v>41</v>
      </c>
      <c r="C72" s="1" t="s">
        <v>8</v>
      </c>
      <c r="D72" s="1">
        <v>2003</v>
      </c>
      <c r="E72" s="1">
        <v>11</v>
      </c>
      <c r="F72" s="1">
        <v>4</v>
      </c>
      <c r="G72" s="1">
        <v>10</v>
      </c>
      <c r="I72" s="1">
        <v>1260.22</v>
      </c>
      <c r="J72" s="1">
        <v>1470.58</v>
      </c>
      <c r="K72" s="1" t="s">
        <v>76</v>
      </c>
      <c r="L72" s="1">
        <v>3</v>
      </c>
      <c r="M72" s="1" t="s">
        <v>76</v>
      </c>
      <c r="N72" s="1" t="s">
        <v>76</v>
      </c>
      <c r="O72" s="1">
        <f t="shared" si="1"/>
        <v>14</v>
      </c>
      <c r="P72" s="1">
        <v>3</v>
      </c>
    </row>
    <row r="73" spans="1:16" x14ac:dyDescent="0.2">
      <c r="A73" s="1">
        <v>2020</v>
      </c>
      <c r="B73" s="1" t="s">
        <v>32</v>
      </c>
      <c r="C73" s="1" t="s">
        <v>6</v>
      </c>
      <c r="D73" s="1">
        <v>2002</v>
      </c>
      <c r="E73" s="1">
        <v>12</v>
      </c>
      <c r="F73" s="1">
        <v>4</v>
      </c>
      <c r="G73" s="1">
        <v>10</v>
      </c>
      <c r="I73" s="1">
        <v>1293.74</v>
      </c>
      <c r="J73" s="1">
        <v>1419.28</v>
      </c>
      <c r="K73" s="1" t="s">
        <v>76</v>
      </c>
      <c r="L73" s="1">
        <v>34</v>
      </c>
      <c r="M73" s="1" t="s">
        <v>76</v>
      </c>
      <c r="N73" s="1" t="s">
        <v>76</v>
      </c>
      <c r="O73" s="1">
        <f t="shared" si="1"/>
        <v>14</v>
      </c>
      <c r="P73" s="1">
        <v>1</v>
      </c>
    </row>
    <row r="74" spans="1:16" x14ac:dyDescent="0.2">
      <c r="A74" s="1">
        <v>2019</v>
      </c>
      <c r="B74" s="1" t="s">
        <v>35</v>
      </c>
      <c r="C74" s="1" t="s">
        <v>10</v>
      </c>
      <c r="D74" s="1">
        <v>2002</v>
      </c>
      <c r="E74" s="1">
        <v>1</v>
      </c>
      <c r="F74" s="1">
        <v>9</v>
      </c>
      <c r="G74" s="1">
        <v>5</v>
      </c>
      <c r="I74" s="1">
        <v>1393.1</v>
      </c>
      <c r="J74" s="1">
        <v>1423.26</v>
      </c>
      <c r="K74" s="1" t="s">
        <v>75</v>
      </c>
      <c r="L74" s="1">
        <v>20</v>
      </c>
      <c r="M74" s="1" t="s">
        <v>75</v>
      </c>
      <c r="N74" s="1" t="s">
        <v>75</v>
      </c>
      <c r="O74" s="1">
        <f t="shared" si="1"/>
        <v>14</v>
      </c>
      <c r="P74" s="1">
        <v>2</v>
      </c>
    </row>
    <row r="75" spans="1:16" x14ac:dyDescent="0.2">
      <c r="A75" s="1">
        <v>2019</v>
      </c>
      <c r="B75" s="1" t="s">
        <v>24</v>
      </c>
      <c r="C75" s="1" t="s">
        <v>2</v>
      </c>
      <c r="D75" s="1">
        <v>2012</v>
      </c>
      <c r="E75" s="1">
        <v>2</v>
      </c>
      <c r="F75" s="1">
        <v>7</v>
      </c>
      <c r="G75" s="1">
        <v>7</v>
      </c>
      <c r="I75" s="1">
        <v>1305.3800000000001</v>
      </c>
      <c r="J75" s="1">
        <v>1340.74</v>
      </c>
      <c r="K75" s="1" t="s">
        <v>75</v>
      </c>
      <c r="L75" s="1">
        <v>16</v>
      </c>
      <c r="M75" s="1" t="s">
        <v>76</v>
      </c>
      <c r="N75" s="1" t="s">
        <v>75</v>
      </c>
      <c r="O75" s="1">
        <f t="shared" si="1"/>
        <v>14</v>
      </c>
      <c r="P75" s="1">
        <v>7</v>
      </c>
    </row>
    <row r="76" spans="1:16" x14ac:dyDescent="0.2">
      <c r="A76" s="1">
        <v>2019</v>
      </c>
      <c r="B76" s="1" t="s">
        <v>29</v>
      </c>
      <c r="C76" s="1" t="s">
        <v>9</v>
      </c>
      <c r="D76" s="1">
        <v>2001</v>
      </c>
      <c r="E76" s="1">
        <v>3</v>
      </c>
      <c r="F76" s="1">
        <v>7</v>
      </c>
      <c r="G76" s="1">
        <v>7</v>
      </c>
      <c r="I76" s="1">
        <v>1386.5</v>
      </c>
      <c r="J76" s="1">
        <v>1373.08</v>
      </c>
      <c r="K76" s="1" t="s">
        <v>75</v>
      </c>
      <c r="L76" s="1">
        <v>33</v>
      </c>
      <c r="M76" s="1" t="s">
        <v>76</v>
      </c>
      <c r="N76" s="1" t="s">
        <v>75</v>
      </c>
      <c r="O76" s="1">
        <f t="shared" si="1"/>
        <v>14</v>
      </c>
      <c r="P76" s="1">
        <v>5</v>
      </c>
    </row>
    <row r="77" spans="1:16" x14ac:dyDescent="0.2">
      <c r="A77" s="1">
        <v>2019</v>
      </c>
      <c r="B77" s="1" t="s">
        <v>36</v>
      </c>
      <c r="C77" s="1" t="s">
        <v>7</v>
      </c>
      <c r="D77" s="1">
        <v>2008</v>
      </c>
      <c r="E77" s="1">
        <v>4</v>
      </c>
      <c r="F77" s="1">
        <v>10</v>
      </c>
      <c r="G77" s="1">
        <v>4</v>
      </c>
      <c r="I77" s="1">
        <v>1349.04</v>
      </c>
      <c r="J77" s="1">
        <v>1162.68</v>
      </c>
      <c r="K77" s="1" t="s">
        <v>75</v>
      </c>
      <c r="L77" s="1">
        <v>16</v>
      </c>
      <c r="M77" s="1" t="s">
        <v>76</v>
      </c>
      <c r="N77" s="1" t="s">
        <v>76</v>
      </c>
      <c r="O77" s="1">
        <f t="shared" si="1"/>
        <v>14</v>
      </c>
      <c r="P77" s="1">
        <v>11</v>
      </c>
    </row>
    <row r="78" spans="1:16" x14ac:dyDescent="0.2">
      <c r="A78" s="1">
        <v>2019</v>
      </c>
      <c r="B78" s="1" t="s">
        <v>32</v>
      </c>
      <c r="C78" s="1" t="s">
        <v>6</v>
      </c>
      <c r="D78" s="1">
        <v>2002</v>
      </c>
      <c r="E78" s="1">
        <v>5</v>
      </c>
      <c r="F78" s="1">
        <v>9</v>
      </c>
      <c r="G78" s="1">
        <v>5</v>
      </c>
      <c r="I78" s="1">
        <v>1335.06</v>
      </c>
      <c r="J78" s="1">
        <v>1308.3</v>
      </c>
      <c r="K78" s="1" t="s">
        <v>75</v>
      </c>
      <c r="L78" s="1">
        <v>14</v>
      </c>
      <c r="M78" s="1" t="s">
        <v>76</v>
      </c>
      <c r="N78" s="1" t="s">
        <v>76</v>
      </c>
      <c r="O78" s="1">
        <f t="shared" si="1"/>
        <v>14</v>
      </c>
      <c r="P78" s="1">
        <v>9</v>
      </c>
    </row>
    <row r="79" spans="1:16" x14ac:dyDescent="0.2">
      <c r="A79" s="1">
        <v>2019</v>
      </c>
      <c r="B79" s="1" t="s">
        <v>34</v>
      </c>
      <c r="C79" s="1" t="s">
        <v>0</v>
      </c>
      <c r="D79" s="1">
        <v>2003</v>
      </c>
      <c r="E79" s="1">
        <v>6</v>
      </c>
      <c r="F79" s="1">
        <v>8</v>
      </c>
      <c r="G79" s="1">
        <v>6</v>
      </c>
      <c r="I79" s="1">
        <v>1408.16</v>
      </c>
      <c r="J79" s="1">
        <v>1357.92</v>
      </c>
      <c r="K79" s="1" t="s">
        <v>75</v>
      </c>
      <c r="L79" s="1">
        <v>14</v>
      </c>
      <c r="M79" s="1" t="s">
        <v>76</v>
      </c>
      <c r="N79" s="1" t="s">
        <v>76</v>
      </c>
      <c r="O79" s="1">
        <f t="shared" si="1"/>
        <v>14</v>
      </c>
      <c r="P79" s="1">
        <v>3</v>
      </c>
    </row>
    <row r="80" spans="1:16" x14ac:dyDescent="0.2">
      <c r="A80" s="1">
        <v>2019</v>
      </c>
      <c r="B80" s="1" t="s">
        <v>64</v>
      </c>
      <c r="C80" s="1" t="s">
        <v>5</v>
      </c>
      <c r="D80" s="1">
        <v>2014</v>
      </c>
      <c r="E80" s="1">
        <v>7</v>
      </c>
      <c r="F80" s="1">
        <v>6</v>
      </c>
      <c r="G80" s="1">
        <v>8</v>
      </c>
      <c r="I80" s="1">
        <v>1325.98</v>
      </c>
      <c r="J80" s="1">
        <v>1401.18</v>
      </c>
      <c r="K80" s="1" t="s">
        <v>76</v>
      </c>
      <c r="L80" s="1">
        <v>65</v>
      </c>
      <c r="M80" s="1" t="s">
        <v>76</v>
      </c>
      <c r="N80" s="1" t="s">
        <v>76</v>
      </c>
      <c r="O80" s="1">
        <f t="shared" si="1"/>
        <v>14</v>
      </c>
      <c r="P80" s="1">
        <v>1</v>
      </c>
    </row>
    <row r="81" spans="1:16" x14ac:dyDescent="0.2">
      <c r="A81" s="1">
        <v>2019</v>
      </c>
      <c r="B81" s="1" t="s">
        <v>39</v>
      </c>
      <c r="C81" s="1" t="s">
        <v>3</v>
      </c>
      <c r="D81" s="1">
        <v>2001</v>
      </c>
      <c r="E81" s="1">
        <v>8</v>
      </c>
      <c r="F81" s="1">
        <v>5</v>
      </c>
      <c r="G81" s="1">
        <v>9</v>
      </c>
      <c r="I81" s="1">
        <v>1409.36</v>
      </c>
      <c r="J81" s="1">
        <v>1394.84</v>
      </c>
      <c r="K81" s="1" t="s">
        <v>76</v>
      </c>
      <c r="L81" s="1">
        <v>58</v>
      </c>
      <c r="M81" s="1" t="s">
        <v>76</v>
      </c>
      <c r="N81" s="1" t="s">
        <v>76</v>
      </c>
      <c r="O81" s="1">
        <f t="shared" si="1"/>
        <v>14</v>
      </c>
      <c r="P81" s="1">
        <v>6</v>
      </c>
    </row>
    <row r="82" spans="1:16" x14ac:dyDescent="0.2">
      <c r="A82" s="1">
        <v>2019</v>
      </c>
      <c r="B82" s="1" t="s">
        <v>26</v>
      </c>
      <c r="C82" s="1" t="s">
        <v>1</v>
      </c>
      <c r="D82" s="1">
        <v>2003</v>
      </c>
      <c r="E82" s="1">
        <v>9</v>
      </c>
      <c r="F82" s="1">
        <v>6</v>
      </c>
      <c r="G82" s="1">
        <v>8</v>
      </c>
      <c r="I82" s="1">
        <v>1431.08</v>
      </c>
      <c r="J82" s="1">
        <v>1407.74</v>
      </c>
      <c r="K82" s="1" t="s">
        <v>76</v>
      </c>
      <c r="L82" s="1">
        <v>11</v>
      </c>
      <c r="M82" s="1" t="s">
        <v>76</v>
      </c>
      <c r="N82" s="1" t="s">
        <v>76</v>
      </c>
      <c r="O82" s="1">
        <f t="shared" si="1"/>
        <v>14</v>
      </c>
      <c r="P82" s="1">
        <v>4</v>
      </c>
    </row>
    <row r="83" spans="1:16" x14ac:dyDescent="0.2">
      <c r="A83" s="1">
        <v>2019</v>
      </c>
      <c r="B83" s="1" t="s">
        <v>41</v>
      </c>
      <c r="C83" s="1" t="s">
        <v>8</v>
      </c>
      <c r="D83" s="1">
        <v>2003</v>
      </c>
      <c r="E83" s="1">
        <v>10</v>
      </c>
      <c r="F83" s="1">
        <v>6</v>
      </c>
      <c r="G83" s="1">
        <v>8</v>
      </c>
      <c r="I83" s="1">
        <v>1482.3</v>
      </c>
      <c r="J83" s="1">
        <v>1481.44</v>
      </c>
      <c r="K83" s="1" t="s">
        <v>76</v>
      </c>
      <c r="L83" s="1">
        <v>7</v>
      </c>
      <c r="M83" s="1" t="s">
        <v>76</v>
      </c>
      <c r="N83" s="1" t="s">
        <v>76</v>
      </c>
      <c r="O83" s="1">
        <f t="shared" si="1"/>
        <v>14</v>
      </c>
      <c r="P83" s="1">
        <v>10</v>
      </c>
    </row>
    <row r="84" spans="1:16" x14ac:dyDescent="0.2">
      <c r="A84" s="1">
        <v>2019</v>
      </c>
      <c r="B84" s="1" t="s">
        <v>63</v>
      </c>
      <c r="C84" s="1" t="s">
        <v>11</v>
      </c>
      <c r="D84" s="1">
        <v>2008</v>
      </c>
      <c r="E84" s="1">
        <v>11</v>
      </c>
      <c r="F84" s="1">
        <v>6</v>
      </c>
      <c r="G84" s="1">
        <v>8</v>
      </c>
      <c r="I84" s="1">
        <v>1303.74</v>
      </c>
      <c r="J84" s="1">
        <v>1348.08</v>
      </c>
      <c r="K84" s="1" t="s">
        <v>76</v>
      </c>
      <c r="L84" s="1">
        <v>49</v>
      </c>
      <c r="M84" s="1" t="s">
        <v>76</v>
      </c>
      <c r="N84" s="1" t="s">
        <v>76</v>
      </c>
      <c r="O84" s="1">
        <f t="shared" si="1"/>
        <v>14</v>
      </c>
      <c r="P84" s="1">
        <v>8</v>
      </c>
    </row>
    <row r="85" spans="1:16" x14ac:dyDescent="0.2">
      <c r="A85" s="1">
        <v>2019</v>
      </c>
      <c r="B85" s="1" t="s">
        <v>30</v>
      </c>
      <c r="C85" s="1" t="s">
        <v>4</v>
      </c>
      <c r="D85" s="1">
        <v>2001</v>
      </c>
      <c r="E85" s="1">
        <v>12</v>
      </c>
      <c r="F85" s="1">
        <v>5</v>
      </c>
      <c r="G85" s="1">
        <v>9</v>
      </c>
      <c r="I85" s="1">
        <v>1246.2</v>
      </c>
      <c r="J85" s="1">
        <v>1376.64</v>
      </c>
      <c r="K85" s="1" t="s">
        <v>76</v>
      </c>
      <c r="L85" s="1">
        <v>27</v>
      </c>
      <c r="M85" s="1" t="s">
        <v>76</v>
      </c>
      <c r="N85" s="1" t="s">
        <v>76</v>
      </c>
      <c r="O85" s="1">
        <f t="shared" si="1"/>
        <v>14</v>
      </c>
      <c r="P85" s="1">
        <v>12</v>
      </c>
    </row>
    <row r="86" spans="1:16" x14ac:dyDescent="0.2">
      <c r="A86" s="1">
        <v>2018</v>
      </c>
      <c r="B86" s="1" t="s">
        <v>37</v>
      </c>
      <c r="C86" s="1" t="s">
        <v>5</v>
      </c>
      <c r="D86" s="1">
        <v>2014</v>
      </c>
      <c r="E86" s="1">
        <v>1</v>
      </c>
      <c r="F86" s="1">
        <v>10</v>
      </c>
      <c r="G86" s="1">
        <v>4</v>
      </c>
      <c r="I86" s="1">
        <v>1444.2</v>
      </c>
      <c r="J86" s="1">
        <v>1343.1</v>
      </c>
      <c r="K86" s="1" t="s">
        <v>75</v>
      </c>
      <c r="L86" s="1">
        <v>85</v>
      </c>
      <c r="M86" s="1" t="s">
        <v>75</v>
      </c>
      <c r="N86" s="1" t="s">
        <v>75</v>
      </c>
      <c r="O86" s="1">
        <f t="shared" si="1"/>
        <v>14</v>
      </c>
      <c r="P86" s="1">
        <v>2</v>
      </c>
    </row>
    <row r="87" spans="1:16" x14ac:dyDescent="0.2">
      <c r="A87" s="1">
        <v>2018</v>
      </c>
      <c r="B87" s="1" t="s">
        <v>36</v>
      </c>
      <c r="C87" s="1" t="s">
        <v>7</v>
      </c>
      <c r="D87" s="1">
        <v>2008</v>
      </c>
      <c r="E87" s="1">
        <v>2</v>
      </c>
      <c r="F87" s="1">
        <v>7</v>
      </c>
      <c r="G87" s="1">
        <v>7</v>
      </c>
      <c r="I87" s="1">
        <v>1366.56</v>
      </c>
      <c r="J87" s="1">
        <v>1423.26</v>
      </c>
      <c r="K87" s="1" t="s">
        <v>75</v>
      </c>
      <c r="L87" s="1">
        <v>22</v>
      </c>
      <c r="M87" s="1" t="s">
        <v>76</v>
      </c>
      <c r="N87" s="1" t="s">
        <v>75</v>
      </c>
      <c r="O87" s="1">
        <f t="shared" si="1"/>
        <v>14</v>
      </c>
      <c r="P87" s="1">
        <v>4</v>
      </c>
    </row>
    <row r="88" spans="1:16" x14ac:dyDescent="0.2">
      <c r="A88" s="1">
        <v>2018</v>
      </c>
      <c r="B88" s="1" t="s">
        <v>30</v>
      </c>
      <c r="C88" s="1" t="s">
        <v>4</v>
      </c>
      <c r="D88" s="1">
        <v>2001</v>
      </c>
      <c r="E88" s="1">
        <v>3</v>
      </c>
      <c r="F88" s="1">
        <v>12</v>
      </c>
      <c r="G88" s="1">
        <v>2</v>
      </c>
      <c r="I88" s="1">
        <v>1614.9</v>
      </c>
      <c r="J88" s="1">
        <v>1257.76</v>
      </c>
      <c r="K88" s="1" t="s">
        <v>75</v>
      </c>
      <c r="L88" s="1">
        <v>24</v>
      </c>
      <c r="M88" s="1" t="s">
        <v>76</v>
      </c>
      <c r="N88" s="1" t="s">
        <v>75</v>
      </c>
      <c r="O88" s="1">
        <f t="shared" si="1"/>
        <v>14</v>
      </c>
      <c r="P88" s="1">
        <v>1</v>
      </c>
    </row>
    <row r="89" spans="1:16" x14ac:dyDescent="0.2">
      <c r="A89" s="1">
        <v>2018</v>
      </c>
      <c r="B89" s="1" t="s">
        <v>35</v>
      </c>
      <c r="C89" s="1" t="s">
        <v>10</v>
      </c>
      <c r="D89" s="1">
        <v>2002</v>
      </c>
      <c r="E89" s="1">
        <v>4</v>
      </c>
      <c r="F89" s="1">
        <v>8</v>
      </c>
      <c r="G89" s="1">
        <v>6</v>
      </c>
      <c r="I89" s="1">
        <v>1345.24</v>
      </c>
      <c r="J89" s="1">
        <v>1341.64</v>
      </c>
      <c r="K89" s="1" t="s">
        <v>75</v>
      </c>
      <c r="L89" s="1">
        <v>22</v>
      </c>
      <c r="M89" s="1" t="s">
        <v>76</v>
      </c>
      <c r="N89" s="1" t="s">
        <v>76</v>
      </c>
      <c r="O89" s="1">
        <f t="shared" si="1"/>
        <v>14</v>
      </c>
      <c r="P89" s="1">
        <v>7</v>
      </c>
    </row>
    <row r="90" spans="1:16" x14ac:dyDescent="0.2">
      <c r="A90" s="1">
        <v>2018</v>
      </c>
      <c r="B90" s="1" t="s">
        <v>29</v>
      </c>
      <c r="C90" s="1" t="s">
        <v>9</v>
      </c>
      <c r="D90" s="1">
        <v>2001</v>
      </c>
      <c r="E90" s="1">
        <v>5</v>
      </c>
      <c r="F90" s="1">
        <v>9</v>
      </c>
      <c r="G90" s="1">
        <v>5</v>
      </c>
      <c r="I90" s="1">
        <v>1626.34</v>
      </c>
      <c r="J90" s="1">
        <v>1404.16</v>
      </c>
      <c r="K90" s="1" t="s">
        <v>75</v>
      </c>
      <c r="L90" s="1">
        <v>20</v>
      </c>
      <c r="M90" s="1" t="s">
        <v>76</v>
      </c>
      <c r="N90" s="1" t="s">
        <v>76</v>
      </c>
      <c r="O90" s="1">
        <f t="shared" si="1"/>
        <v>14</v>
      </c>
      <c r="P90" s="1">
        <v>8</v>
      </c>
    </row>
    <row r="91" spans="1:16" x14ac:dyDescent="0.2">
      <c r="A91" s="1">
        <v>2018</v>
      </c>
      <c r="B91" s="1" t="s">
        <v>66</v>
      </c>
      <c r="C91" s="1" t="s">
        <v>6</v>
      </c>
      <c r="D91" s="1">
        <v>2002</v>
      </c>
      <c r="E91" s="1">
        <v>6</v>
      </c>
      <c r="F91" s="1">
        <v>7</v>
      </c>
      <c r="G91" s="1">
        <v>7</v>
      </c>
      <c r="I91" s="1">
        <v>1458.8</v>
      </c>
      <c r="J91" s="1">
        <v>1439.82</v>
      </c>
      <c r="K91" s="1" t="s">
        <v>75</v>
      </c>
      <c r="L91" s="1">
        <v>21</v>
      </c>
      <c r="M91" s="1" t="s">
        <v>76</v>
      </c>
      <c r="N91" s="1" t="s">
        <v>76</v>
      </c>
      <c r="O91" s="1">
        <f t="shared" si="1"/>
        <v>14</v>
      </c>
      <c r="P91" s="1">
        <v>3</v>
      </c>
    </row>
    <row r="92" spans="1:16" x14ac:dyDescent="0.2">
      <c r="A92" s="1">
        <v>2018</v>
      </c>
      <c r="B92" s="1" t="s">
        <v>39</v>
      </c>
      <c r="C92" s="1" t="s">
        <v>3</v>
      </c>
      <c r="D92" s="1">
        <v>2001</v>
      </c>
      <c r="E92" s="1">
        <v>7</v>
      </c>
      <c r="F92" s="1">
        <v>6</v>
      </c>
      <c r="G92" s="1">
        <v>8</v>
      </c>
      <c r="I92" s="1">
        <v>1360.66</v>
      </c>
      <c r="J92" s="1">
        <v>1411.82</v>
      </c>
      <c r="K92" s="1" t="s">
        <v>76</v>
      </c>
      <c r="L92" s="1">
        <v>36</v>
      </c>
      <c r="M92" s="1" t="s">
        <v>76</v>
      </c>
      <c r="N92" s="1" t="s">
        <v>76</v>
      </c>
      <c r="O92" s="1">
        <f t="shared" si="1"/>
        <v>14</v>
      </c>
      <c r="P92" s="1">
        <v>5</v>
      </c>
    </row>
    <row r="93" spans="1:16" x14ac:dyDescent="0.2">
      <c r="A93" s="1">
        <v>2018</v>
      </c>
      <c r="B93" s="1" t="s">
        <v>34</v>
      </c>
      <c r="C93" s="1" t="s">
        <v>0</v>
      </c>
      <c r="D93" s="1">
        <v>2003</v>
      </c>
      <c r="E93" s="1">
        <v>8</v>
      </c>
      <c r="F93" s="1">
        <v>4</v>
      </c>
      <c r="G93" s="1">
        <v>10</v>
      </c>
      <c r="I93" s="1">
        <v>1244.8</v>
      </c>
      <c r="J93" s="1">
        <v>1400.04</v>
      </c>
      <c r="K93" s="1" t="s">
        <v>76</v>
      </c>
      <c r="L93" s="1">
        <v>10</v>
      </c>
      <c r="M93" s="1" t="s">
        <v>76</v>
      </c>
      <c r="N93" s="1" t="s">
        <v>76</v>
      </c>
      <c r="O93" s="1">
        <f t="shared" si="1"/>
        <v>14</v>
      </c>
      <c r="P93" s="1">
        <v>11</v>
      </c>
    </row>
    <row r="94" spans="1:16" x14ac:dyDescent="0.2">
      <c r="A94" s="1">
        <v>2018</v>
      </c>
      <c r="B94" s="1" t="s">
        <v>24</v>
      </c>
      <c r="C94" s="1" t="s">
        <v>2</v>
      </c>
      <c r="D94" s="1">
        <v>2012</v>
      </c>
      <c r="E94" s="1">
        <v>9</v>
      </c>
      <c r="F94" s="1">
        <v>5</v>
      </c>
      <c r="G94" s="1">
        <v>9</v>
      </c>
      <c r="I94" s="1">
        <v>1393.84</v>
      </c>
      <c r="J94" s="1">
        <v>1402.24</v>
      </c>
      <c r="K94" s="1" t="s">
        <v>76</v>
      </c>
      <c r="L94" s="1">
        <v>14</v>
      </c>
      <c r="M94" s="1" t="s">
        <v>76</v>
      </c>
      <c r="N94" s="1" t="s">
        <v>76</v>
      </c>
      <c r="O94" s="1">
        <f t="shared" si="1"/>
        <v>14</v>
      </c>
      <c r="P94" s="1">
        <v>10</v>
      </c>
    </row>
    <row r="95" spans="1:16" x14ac:dyDescent="0.2">
      <c r="A95" s="1">
        <v>2018</v>
      </c>
      <c r="B95" s="1" t="s">
        <v>65</v>
      </c>
      <c r="C95" s="1" t="s">
        <v>1</v>
      </c>
      <c r="D95" s="1">
        <v>2003</v>
      </c>
      <c r="E95" s="1">
        <v>10</v>
      </c>
      <c r="F95" s="1">
        <v>6</v>
      </c>
      <c r="G95" s="1">
        <v>8</v>
      </c>
      <c r="I95" s="1">
        <v>1362.84</v>
      </c>
      <c r="J95" s="1">
        <v>1384.84</v>
      </c>
      <c r="K95" s="1" t="s">
        <v>76</v>
      </c>
      <c r="L95" s="1">
        <v>6</v>
      </c>
      <c r="M95" s="1" t="s">
        <v>76</v>
      </c>
      <c r="N95" s="1" t="s">
        <v>76</v>
      </c>
      <c r="O95" s="1">
        <f t="shared" si="1"/>
        <v>14</v>
      </c>
      <c r="P95" s="1">
        <v>6</v>
      </c>
    </row>
    <row r="96" spans="1:16" x14ac:dyDescent="0.2">
      <c r="A96" s="1">
        <v>2018</v>
      </c>
      <c r="B96" s="1" t="s">
        <v>41</v>
      </c>
      <c r="C96" s="1" t="s">
        <v>8</v>
      </c>
      <c r="D96" s="1">
        <v>2003</v>
      </c>
      <c r="E96" s="1">
        <v>11</v>
      </c>
      <c r="F96" s="1">
        <v>6</v>
      </c>
      <c r="G96" s="1">
        <v>8</v>
      </c>
      <c r="I96" s="1">
        <v>1270.8800000000001</v>
      </c>
      <c r="J96" s="1">
        <v>1449.98</v>
      </c>
      <c r="K96" s="1" t="s">
        <v>76</v>
      </c>
      <c r="L96" s="1">
        <v>21</v>
      </c>
      <c r="M96" s="1" t="s">
        <v>76</v>
      </c>
      <c r="N96" s="1" t="s">
        <v>76</v>
      </c>
      <c r="O96" s="1">
        <f t="shared" si="1"/>
        <v>14</v>
      </c>
      <c r="P96" s="1">
        <v>12</v>
      </c>
    </row>
    <row r="97" spans="1:16" x14ac:dyDescent="0.2">
      <c r="A97" s="1">
        <v>2018</v>
      </c>
      <c r="B97" s="1" t="s">
        <v>63</v>
      </c>
      <c r="C97" s="1" t="s">
        <v>11</v>
      </c>
      <c r="D97" s="1">
        <v>2008</v>
      </c>
      <c r="E97" s="1">
        <v>12</v>
      </c>
      <c r="F97" s="1">
        <v>4</v>
      </c>
      <c r="G97" s="1">
        <v>10</v>
      </c>
      <c r="I97" s="1">
        <v>1355.3</v>
      </c>
      <c r="J97" s="1">
        <v>1585.7</v>
      </c>
      <c r="K97" s="1" t="s">
        <v>76</v>
      </c>
      <c r="L97" s="1">
        <v>30</v>
      </c>
      <c r="M97" s="1" t="s">
        <v>76</v>
      </c>
      <c r="N97" s="1" t="s">
        <v>76</v>
      </c>
      <c r="O97" s="1">
        <f t="shared" si="1"/>
        <v>14</v>
      </c>
      <c r="P97" s="1">
        <v>9</v>
      </c>
    </row>
    <row r="98" spans="1:16" x14ac:dyDescent="0.2">
      <c r="A98" s="1">
        <v>2017</v>
      </c>
      <c r="B98" s="1" t="s">
        <v>38</v>
      </c>
      <c r="C98" s="1" t="s">
        <v>5</v>
      </c>
      <c r="D98" s="1">
        <v>2014</v>
      </c>
      <c r="E98" s="1">
        <v>1</v>
      </c>
      <c r="F98" s="1">
        <v>8</v>
      </c>
      <c r="G98" s="1">
        <v>6</v>
      </c>
      <c r="I98" s="1">
        <v>1320.18</v>
      </c>
      <c r="J98" s="1">
        <v>1312.86</v>
      </c>
      <c r="K98" s="1" t="s">
        <v>75</v>
      </c>
      <c r="L98" s="1">
        <v>60</v>
      </c>
      <c r="M98" s="1" t="s">
        <v>75</v>
      </c>
      <c r="N98" s="1" t="s">
        <v>75</v>
      </c>
      <c r="O98" s="1">
        <f t="shared" si="1"/>
        <v>14</v>
      </c>
      <c r="P98" s="1">
        <v>8</v>
      </c>
    </row>
    <row r="99" spans="1:16" x14ac:dyDescent="0.2">
      <c r="A99" s="1">
        <v>2017</v>
      </c>
      <c r="B99" s="1" t="s">
        <v>39</v>
      </c>
      <c r="C99" s="1" t="s">
        <v>3</v>
      </c>
      <c r="D99" s="1">
        <v>2001</v>
      </c>
      <c r="E99" s="1">
        <v>2</v>
      </c>
      <c r="F99" s="1">
        <v>9</v>
      </c>
      <c r="G99" s="1">
        <v>5</v>
      </c>
      <c r="I99" s="1">
        <v>1326.06</v>
      </c>
      <c r="J99" s="1">
        <v>1150.6400000000001</v>
      </c>
      <c r="K99" s="1" t="s">
        <v>75</v>
      </c>
      <c r="L99" s="1">
        <v>41</v>
      </c>
      <c r="M99" s="1" t="s">
        <v>76</v>
      </c>
      <c r="N99" s="1" t="s">
        <v>75</v>
      </c>
      <c r="O99" s="1">
        <f t="shared" si="1"/>
        <v>14</v>
      </c>
      <c r="P99" s="1">
        <v>2</v>
      </c>
    </row>
    <row r="100" spans="1:16" x14ac:dyDescent="0.2">
      <c r="A100" s="1">
        <v>2017</v>
      </c>
      <c r="B100" s="1" t="s">
        <v>35</v>
      </c>
      <c r="C100" s="1" t="s">
        <v>10</v>
      </c>
      <c r="D100" s="1">
        <v>2002</v>
      </c>
      <c r="E100" s="1">
        <v>3</v>
      </c>
      <c r="F100" s="1">
        <v>9</v>
      </c>
      <c r="G100" s="1">
        <v>5</v>
      </c>
      <c r="I100" s="1">
        <v>1423.36</v>
      </c>
      <c r="J100" s="1">
        <v>1211.9000000000001</v>
      </c>
      <c r="K100" s="1" t="s">
        <v>75</v>
      </c>
      <c r="L100" s="1">
        <v>24</v>
      </c>
      <c r="M100" s="1" t="s">
        <v>76</v>
      </c>
      <c r="N100" s="1" t="s">
        <v>75</v>
      </c>
      <c r="O100" s="1">
        <f t="shared" si="1"/>
        <v>14</v>
      </c>
      <c r="P100" s="1">
        <v>12</v>
      </c>
    </row>
    <row r="101" spans="1:16" x14ac:dyDescent="0.2">
      <c r="A101" s="1">
        <v>2017</v>
      </c>
      <c r="B101" s="1" t="s">
        <v>30</v>
      </c>
      <c r="C101" s="1" t="s">
        <v>4</v>
      </c>
      <c r="D101" s="1">
        <v>2001</v>
      </c>
      <c r="E101" s="1">
        <v>4</v>
      </c>
      <c r="F101" s="1">
        <v>10</v>
      </c>
      <c r="G101" s="1">
        <v>4</v>
      </c>
      <c r="I101" s="1">
        <v>1236.72</v>
      </c>
      <c r="J101" s="1">
        <v>1229.3</v>
      </c>
      <c r="K101" s="1" t="s">
        <v>75</v>
      </c>
      <c r="L101" s="1">
        <v>23</v>
      </c>
      <c r="M101" s="1" t="s">
        <v>76</v>
      </c>
      <c r="N101" s="1" t="s">
        <v>76</v>
      </c>
      <c r="O101" s="1">
        <f t="shared" si="1"/>
        <v>14</v>
      </c>
      <c r="P101" s="1">
        <v>1</v>
      </c>
    </row>
    <row r="102" spans="1:16" x14ac:dyDescent="0.2">
      <c r="A102" s="1">
        <v>2017</v>
      </c>
      <c r="B102" s="1" t="s">
        <v>66</v>
      </c>
      <c r="C102" s="1" t="s">
        <v>6</v>
      </c>
      <c r="D102" s="1">
        <v>2002</v>
      </c>
      <c r="E102" s="1">
        <v>5</v>
      </c>
      <c r="F102" s="1">
        <v>7</v>
      </c>
      <c r="G102" s="1">
        <v>7</v>
      </c>
      <c r="I102" s="1">
        <v>1160.1600000000001</v>
      </c>
      <c r="J102" s="1">
        <v>1224.46</v>
      </c>
      <c r="K102" s="1" t="s">
        <v>75</v>
      </c>
      <c r="L102" s="1">
        <v>39</v>
      </c>
      <c r="M102" s="1" t="s">
        <v>76</v>
      </c>
      <c r="N102" s="1" t="s">
        <v>76</v>
      </c>
      <c r="O102" s="1">
        <f t="shared" si="1"/>
        <v>14</v>
      </c>
      <c r="P102" s="1">
        <v>4</v>
      </c>
    </row>
    <row r="103" spans="1:16" x14ac:dyDescent="0.2">
      <c r="A103" s="1">
        <v>2017</v>
      </c>
      <c r="B103" s="1" t="s">
        <v>34</v>
      </c>
      <c r="C103" s="1" t="s">
        <v>0</v>
      </c>
      <c r="D103" s="1">
        <v>2003</v>
      </c>
      <c r="E103" s="1">
        <v>6</v>
      </c>
      <c r="F103" s="1">
        <v>9</v>
      </c>
      <c r="G103" s="1">
        <v>5</v>
      </c>
      <c r="I103" s="1">
        <v>1293.28</v>
      </c>
      <c r="J103" s="1">
        <v>1131.1400000000001</v>
      </c>
      <c r="K103" s="1" t="s">
        <v>75</v>
      </c>
      <c r="L103" s="1">
        <v>18</v>
      </c>
      <c r="M103" s="1" t="s">
        <v>76</v>
      </c>
      <c r="N103" s="1" t="s">
        <v>76</v>
      </c>
      <c r="O103" s="1">
        <f t="shared" si="1"/>
        <v>14</v>
      </c>
      <c r="P103" s="1">
        <v>3</v>
      </c>
    </row>
    <row r="104" spans="1:16" x14ac:dyDescent="0.2">
      <c r="A104" s="1">
        <v>2017</v>
      </c>
      <c r="B104" s="1" t="s">
        <v>40</v>
      </c>
      <c r="C104" s="1" t="s">
        <v>11</v>
      </c>
      <c r="D104" s="1">
        <v>2008</v>
      </c>
      <c r="E104" s="1">
        <v>7</v>
      </c>
      <c r="F104" s="1">
        <v>5</v>
      </c>
      <c r="G104" s="1">
        <v>9</v>
      </c>
      <c r="I104" s="1">
        <v>1293.8</v>
      </c>
      <c r="J104" s="1">
        <v>1363.4</v>
      </c>
      <c r="K104" s="1" t="s">
        <v>76</v>
      </c>
      <c r="L104" s="1">
        <v>34</v>
      </c>
      <c r="M104" s="1" t="s">
        <v>76</v>
      </c>
      <c r="N104" s="1" t="s">
        <v>76</v>
      </c>
      <c r="O104" s="1">
        <f t="shared" si="1"/>
        <v>14</v>
      </c>
      <c r="P104" s="1">
        <v>7</v>
      </c>
    </row>
    <row r="105" spans="1:16" x14ac:dyDescent="0.2">
      <c r="A105" s="1">
        <v>2017</v>
      </c>
      <c r="B105" s="1" t="s">
        <v>24</v>
      </c>
      <c r="C105" s="1" t="s">
        <v>2</v>
      </c>
      <c r="D105" s="1">
        <v>2012</v>
      </c>
      <c r="E105" s="1">
        <v>8</v>
      </c>
      <c r="F105" s="1">
        <v>5</v>
      </c>
      <c r="G105" s="1">
        <v>9</v>
      </c>
      <c r="I105" s="1">
        <v>1170.8399999999999</v>
      </c>
      <c r="J105" s="1">
        <v>1241.1199999999999</v>
      </c>
      <c r="K105" s="1" t="s">
        <v>76</v>
      </c>
      <c r="L105" s="1">
        <v>19</v>
      </c>
      <c r="M105" s="1" t="s">
        <v>76</v>
      </c>
      <c r="N105" s="1" t="s">
        <v>76</v>
      </c>
      <c r="O105" s="1">
        <f t="shared" si="1"/>
        <v>14</v>
      </c>
      <c r="P105" s="1">
        <v>9</v>
      </c>
    </row>
    <row r="106" spans="1:16" x14ac:dyDescent="0.2">
      <c r="A106" s="1">
        <v>2017</v>
      </c>
      <c r="B106" s="1" t="s">
        <v>41</v>
      </c>
      <c r="C106" s="1" t="s">
        <v>8</v>
      </c>
      <c r="D106" s="1">
        <v>2003</v>
      </c>
      <c r="E106" s="1">
        <v>10</v>
      </c>
      <c r="F106" s="1">
        <v>6</v>
      </c>
      <c r="G106" s="1">
        <v>8</v>
      </c>
      <c r="I106" s="1">
        <v>1169.42</v>
      </c>
      <c r="J106" s="1">
        <v>1310.7</v>
      </c>
      <c r="K106" s="1" t="s">
        <v>76</v>
      </c>
      <c r="L106" s="1">
        <v>6</v>
      </c>
      <c r="M106" s="1" t="s">
        <v>76</v>
      </c>
      <c r="N106" s="1" t="s">
        <v>76</v>
      </c>
      <c r="O106" s="1">
        <f t="shared" si="1"/>
        <v>14</v>
      </c>
      <c r="P106" s="1">
        <v>5</v>
      </c>
    </row>
    <row r="107" spans="1:16" x14ac:dyDescent="0.2">
      <c r="A107" s="1">
        <v>2017</v>
      </c>
      <c r="B107" s="1" t="s">
        <v>65</v>
      </c>
      <c r="C107" s="1" t="s">
        <v>1</v>
      </c>
      <c r="D107" s="1">
        <v>2003</v>
      </c>
      <c r="E107" s="1">
        <v>11</v>
      </c>
      <c r="F107" s="1">
        <v>5</v>
      </c>
      <c r="G107" s="1">
        <v>9</v>
      </c>
      <c r="I107" s="1">
        <v>1266.1199999999999</v>
      </c>
      <c r="J107" s="1">
        <v>1230.82</v>
      </c>
      <c r="K107" s="1" t="s">
        <v>76</v>
      </c>
      <c r="L107" s="1">
        <v>8</v>
      </c>
      <c r="M107" s="1" t="s">
        <v>76</v>
      </c>
      <c r="N107" s="1" t="s">
        <v>76</v>
      </c>
      <c r="O107" s="1">
        <f t="shared" si="1"/>
        <v>14</v>
      </c>
      <c r="P107" s="1">
        <v>6</v>
      </c>
    </row>
    <row r="108" spans="1:16" x14ac:dyDescent="0.2">
      <c r="A108" s="1">
        <v>2017</v>
      </c>
      <c r="B108" s="1" t="s">
        <v>36</v>
      </c>
      <c r="C108" s="1" t="s">
        <v>7</v>
      </c>
      <c r="D108" s="1">
        <v>2008</v>
      </c>
      <c r="E108" s="1">
        <v>12</v>
      </c>
      <c r="F108" s="1">
        <v>5</v>
      </c>
      <c r="G108" s="1">
        <v>9</v>
      </c>
      <c r="I108" s="1">
        <v>1114.44</v>
      </c>
      <c r="J108" s="1">
        <v>1253.28</v>
      </c>
      <c r="K108" s="1" t="s">
        <v>76</v>
      </c>
      <c r="L108" s="1">
        <v>6</v>
      </c>
      <c r="M108" s="1" t="s">
        <v>76</v>
      </c>
      <c r="N108" s="1" t="s">
        <v>76</v>
      </c>
      <c r="O108" s="1">
        <f t="shared" si="1"/>
        <v>14</v>
      </c>
      <c r="P108" s="1">
        <v>10</v>
      </c>
    </row>
    <row r="109" spans="1:16" x14ac:dyDescent="0.2">
      <c r="A109" s="1">
        <v>2016</v>
      </c>
      <c r="B109" s="1" t="s">
        <v>40</v>
      </c>
      <c r="C109" s="1" t="s">
        <v>11</v>
      </c>
      <c r="D109" s="1">
        <v>2008</v>
      </c>
      <c r="E109" s="1">
        <v>1</v>
      </c>
      <c r="F109" s="1">
        <v>8</v>
      </c>
      <c r="G109" s="1">
        <v>6</v>
      </c>
      <c r="I109" s="1">
        <v>1490.92</v>
      </c>
      <c r="J109" s="1">
        <v>1319.24</v>
      </c>
      <c r="K109" s="1" t="s">
        <v>75</v>
      </c>
      <c r="L109" s="1">
        <v>29</v>
      </c>
      <c r="M109" s="1" t="s">
        <v>75</v>
      </c>
      <c r="N109" s="1" t="s">
        <v>75</v>
      </c>
      <c r="O109" s="1">
        <f t="shared" si="1"/>
        <v>14</v>
      </c>
      <c r="P109" s="1">
        <v>12</v>
      </c>
    </row>
    <row r="110" spans="1:16" x14ac:dyDescent="0.2">
      <c r="A110" s="1">
        <v>2016</v>
      </c>
      <c r="B110" s="1" t="s">
        <v>41</v>
      </c>
      <c r="C110" s="1" t="s">
        <v>8</v>
      </c>
      <c r="D110" s="1">
        <v>2003</v>
      </c>
      <c r="E110" s="1">
        <v>2</v>
      </c>
      <c r="F110" s="1">
        <v>12</v>
      </c>
      <c r="G110" s="1">
        <v>2</v>
      </c>
      <c r="I110" s="1">
        <v>1464.26</v>
      </c>
      <c r="J110" s="1">
        <v>1198.68</v>
      </c>
      <c r="K110" s="1" t="s">
        <v>75</v>
      </c>
      <c r="L110" s="1">
        <v>12</v>
      </c>
      <c r="M110" s="1" t="s">
        <v>76</v>
      </c>
      <c r="N110" s="1" t="s">
        <v>75</v>
      </c>
      <c r="O110" s="1">
        <f t="shared" si="1"/>
        <v>14</v>
      </c>
      <c r="P110" s="1">
        <v>1</v>
      </c>
    </row>
    <row r="111" spans="1:16" x14ac:dyDescent="0.2">
      <c r="A111" s="1">
        <v>2016</v>
      </c>
      <c r="B111" s="1" t="s">
        <v>38</v>
      </c>
      <c r="C111" s="1" t="s">
        <v>5</v>
      </c>
      <c r="D111" s="1">
        <v>2014</v>
      </c>
      <c r="E111" s="1">
        <v>3</v>
      </c>
      <c r="F111" s="1">
        <v>7</v>
      </c>
      <c r="G111" s="1">
        <v>7</v>
      </c>
      <c r="I111" s="1">
        <v>1283.02</v>
      </c>
      <c r="J111" s="1">
        <v>1340.62</v>
      </c>
      <c r="K111" s="1" t="s">
        <v>75</v>
      </c>
      <c r="L111" s="1">
        <v>29</v>
      </c>
      <c r="M111" s="1" t="s">
        <v>76</v>
      </c>
      <c r="N111" s="1" t="s">
        <v>75</v>
      </c>
      <c r="O111" s="1">
        <f t="shared" si="1"/>
        <v>14</v>
      </c>
      <c r="P111" s="1">
        <v>8</v>
      </c>
    </row>
    <row r="112" spans="1:16" x14ac:dyDescent="0.2">
      <c r="A112" s="1">
        <v>2016</v>
      </c>
      <c r="B112" s="1" t="s">
        <v>65</v>
      </c>
      <c r="C112" s="1" t="s">
        <v>1</v>
      </c>
      <c r="D112" s="1">
        <v>2003</v>
      </c>
      <c r="E112" s="1">
        <v>4</v>
      </c>
      <c r="F112" s="1">
        <v>11</v>
      </c>
      <c r="G112" s="1">
        <v>3</v>
      </c>
      <c r="I112" s="1">
        <v>1515.56</v>
      </c>
      <c r="J112" s="1">
        <v>1277.68</v>
      </c>
      <c r="K112" s="1" t="s">
        <v>75</v>
      </c>
      <c r="L112" s="1">
        <v>4</v>
      </c>
      <c r="M112" s="1" t="s">
        <v>76</v>
      </c>
      <c r="N112" s="1" t="s">
        <v>76</v>
      </c>
      <c r="O112" s="1">
        <f t="shared" si="1"/>
        <v>14</v>
      </c>
      <c r="P112" s="1">
        <v>5</v>
      </c>
    </row>
    <row r="113" spans="1:16" x14ac:dyDescent="0.2">
      <c r="A113" s="1">
        <v>2016</v>
      </c>
      <c r="B113" s="1" t="s">
        <v>67</v>
      </c>
      <c r="C113" s="1" t="s">
        <v>3</v>
      </c>
      <c r="D113" s="1">
        <v>2001</v>
      </c>
      <c r="E113" s="1">
        <v>5</v>
      </c>
      <c r="F113" s="1">
        <v>9</v>
      </c>
      <c r="G113" s="1">
        <v>5</v>
      </c>
      <c r="I113" s="1">
        <v>1377.74</v>
      </c>
      <c r="J113" s="1">
        <v>1318.82</v>
      </c>
      <c r="K113" s="1" t="s">
        <v>75</v>
      </c>
      <c r="L113" s="1">
        <v>26</v>
      </c>
      <c r="M113" s="1" t="s">
        <v>76</v>
      </c>
      <c r="N113" s="1" t="s">
        <v>76</v>
      </c>
      <c r="O113" s="1">
        <f t="shared" si="1"/>
        <v>14</v>
      </c>
      <c r="P113" s="1">
        <v>3</v>
      </c>
    </row>
    <row r="114" spans="1:16" x14ac:dyDescent="0.2">
      <c r="A114" s="1">
        <v>2016</v>
      </c>
      <c r="B114" s="1" t="s">
        <v>34</v>
      </c>
      <c r="C114" s="1" t="s">
        <v>0</v>
      </c>
      <c r="D114" s="1">
        <v>2003</v>
      </c>
      <c r="E114" s="1">
        <v>6</v>
      </c>
      <c r="F114" s="1">
        <v>8</v>
      </c>
      <c r="G114" s="1">
        <v>6</v>
      </c>
      <c r="I114" s="1">
        <v>1312.16</v>
      </c>
      <c r="J114" s="1">
        <v>1373.4</v>
      </c>
      <c r="K114" s="1" t="s">
        <v>75</v>
      </c>
      <c r="L114" s="1">
        <v>13</v>
      </c>
      <c r="M114" s="1" t="s">
        <v>76</v>
      </c>
      <c r="N114" s="1" t="s">
        <v>76</v>
      </c>
      <c r="O114" s="1">
        <f t="shared" si="1"/>
        <v>14</v>
      </c>
      <c r="P114" s="1">
        <v>4</v>
      </c>
    </row>
    <row r="115" spans="1:16" x14ac:dyDescent="0.2">
      <c r="A115" s="1">
        <v>2016</v>
      </c>
      <c r="B115" s="1" t="s">
        <v>24</v>
      </c>
      <c r="C115" s="1" t="s">
        <v>2</v>
      </c>
      <c r="D115" s="1">
        <v>2012</v>
      </c>
      <c r="E115" s="1">
        <v>7</v>
      </c>
      <c r="F115" s="1">
        <v>5</v>
      </c>
      <c r="G115" s="1">
        <v>9</v>
      </c>
      <c r="I115" s="1">
        <v>1300.76</v>
      </c>
      <c r="J115" s="1">
        <v>1261.68</v>
      </c>
      <c r="K115" s="1" t="s">
        <v>76</v>
      </c>
      <c r="L115" s="1">
        <v>26</v>
      </c>
      <c r="M115" s="1" t="s">
        <v>76</v>
      </c>
      <c r="N115" s="1" t="s">
        <v>76</v>
      </c>
      <c r="O115" s="1">
        <f t="shared" si="1"/>
        <v>14</v>
      </c>
      <c r="P115" s="1">
        <v>6</v>
      </c>
    </row>
    <row r="116" spans="1:16" x14ac:dyDescent="0.2">
      <c r="A116" s="1">
        <v>2016</v>
      </c>
      <c r="B116" s="1" t="s">
        <v>35</v>
      </c>
      <c r="C116" s="1" t="s">
        <v>10</v>
      </c>
      <c r="D116" s="1">
        <v>2002</v>
      </c>
      <c r="E116" s="1">
        <v>8</v>
      </c>
      <c r="F116" s="1">
        <v>4</v>
      </c>
      <c r="G116" s="1">
        <v>10</v>
      </c>
      <c r="I116" s="1">
        <v>1213.06</v>
      </c>
      <c r="J116" s="1">
        <v>1371.88</v>
      </c>
      <c r="K116" s="1" t="s">
        <v>76</v>
      </c>
      <c r="L116" s="1">
        <v>17</v>
      </c>
      <c r="M116" s="1" t="s">
        <v>76</v>
      </c>
      <c r="N116" s="1" t="s">
        <v>76</v>
      </c>
      <c r="O116" s="1">
        <f t="shared" si="1"/>
        <v>14</v>
      </c>
      <c r="P116" s="1">
        <v>2</v>
      </c>
    </row>
    <row r="117" spans="1:16" x14ac:dyDescent="0.2">
      <c r="A117" s="1">
        <v>2016</v>
      </c>
      <c r="B117" s="1" t="s">
        <v>42</v>
      </c>
      <c r="C117" s="1" t="s">
        <v>6</v>
      </c>
      <c r="D117" s="1">
        <v>2002</v>
      </c>
      <c r="E117" s="1">
        <v>9</v>
      </c>
      <c r="F117" s="1">
        <v>4</v>
      </c>
      <c r="G117" s="1">
        <v>10</v>
      </c>
      <c r="I117" s="1">
        <v>1245.8</v>
      </c>
      <c r="J117" s="1">
        <v>1440.78</v>
      </c>
      <c r="K117" s="1" t="s">
        <v>76</v>
      </c>
      <c r="L117" s="1">
        <v>12</v>
      </c>
      <c r="M117" s="1" t="s">
        <v>76</v>
      </c>
      <c r="N117" s="1" t="s">
        <v>76</v>
      </c>
      <c r="O117" s="1">
        <f t="shared" si="1"/>
        <v>14</v>
      </c>
      <c r="P117" s="1">
        <v>9</v>
      </c>
    </row>
    <row r="118" spans="1:16" x14ac:dyDescent="0.2">
      <c r="A118" s="1">
        <v>2016</v>
      </c>
      <c r="B118" s="1" t="s">
        <v>30</v>
      </c>
      <c r="C118" s="1" t="s">
        <v>4</v>
      </c>
      <c r="D118" s="1">
        <v>2001</v>
      </c>
      <c r="E118" s="1">
        <v>11</v>
      </c>
      <c r="F118" s="1">
        <v>5</v>
      </c>
      <c r="G118" s="1">
        <v>9</v>
      </c>
      <c r="I118" s="1">
        <v>1293.44</v>
      </c>
      <c r="J118" s="1">
        <v>1320.64</v>
      </c>
      <c r="K118" s="1" t="s">
        <v>76</v>
      </c>
      <c r="L118" s="1">
        <v>16</v>
      </c>
      <c r="M118" s="1" t="s">
        <v>76</v>
      </c>
      <c r="N118" s="1" t="s">
        <v>76</v>
      </c>
      <c r="O118" s="1">
        <f t="shared" si="1"/>
        <v>14</v>
      </c>
      <c r="P118" s="1">
        <v>11</v>
      </c>
    </row>
    <row r="119" spans="1:16" x14ac:dyDescent="0.2">
      <c r="A119" s="1">
        <v>2016</v>
      </c>
      <c r="B119" s="1" t="s">
        <v>36</v>
      </c>
      <c r="C119" s="1" t="s">
        <v>7</v>
      </c>
      <c r="D119" s="1">
        <v>2008</v>
      </c>
      <c r="E119" s="1">
        <v>12</v>
      </c>
      <c r="F119" s="1">
        <v>5</v>
      </c>
      <c r="G119" s="1">
        <v>9</v>
      </c>
      <c r="I119" s="1">
        <v>1224.02</v>
      </c>
      <c r="J119" s="1">
        <v>1423.88</v>
      </c>
      <c r="K119" s="1" t="s">
        <v>76</v>
      </c>
      <c r="L119" s="1">
        <v>8</v>
      </c>
      <c r="M119" s="1" t="s">
        <v>76</v>
      </c>
      <c r="N119" s="1" t="s">
        <v>76</v>
      </c>
      <c r="O119" s="1">
        <f t="shared" si="1"/>
        <v>14</v>
      </c>
      <c r="P119" s="1">
        <v>7</v>
      </c>
    </row>
    <row r="120" spans="1:16" x14ac:dyDescent="0.2">
      <c r="A120" s="1">
        <v>2015</v>
      </c>
      <c r="B120" s="1" t="s">
        <v>42</v>
      </c>
      <c r="C120" s="1" t="s">
        <v>6</v>
      </c>
      <c r="D120" s="1">
        <v>2002</v>
      </c>
      <c r="E120" s="1">
        <v>1</v>
      </c>
      <c r="F120" s="1">
        <v>8</v>
      </c>
      <c r="G120" s="1">
        <v>6</v>
      </c>
      <c r="I120" s="1">
        <v>1408.22</v>
      </c>
      <c r="J120" s="1">
        <v>1359.3</v>
      </c>
      <c r="K120" s="1" t="s">
        <v>75</v>
      </c>
      <c r="L120" s="1">
        <v>32</v>
      </c>
      <c r="M120" s="1" t="s">
        <v>75</v>
      </c>
      <c r="N120" s="1" t="s">
        <v>75</v>
      </c>
      <c r="O120" s="1">
        <f t="shared" si="1"/>
        <v>14</v>
      </c>
      <c r="P120" s="1">
        <v>6</v>
      </c>
    </row>
    <row r="121" spans="1:16" x14ac:dyDescent="0.2">
      <c r="A121" s="1">
        <v>2015</v>
      </c>
      <c r="B121" s="1" t="s">
        <v>43</v>
      </c>
      <c r="C121" s="1" t="s">
        <v>11</v>
      </c>
      <c r="D121" s="1">
        <v>2008</v>
      </c>
      <c r="E121" s="1">
        <v>2</v>
      </c>
      <c r="F121" s="1">
        <v>8</v>
      </c>
      <c r="G121" s="1">
        <v>6</v>
      </c>
      <c r="I121" s="1">
        <v>1368.58</v>
      </c>
      <c r="J121" s="1">
        <v>1331.5</v>
      </c>
      <c r="K121" s="1" t="s">
        <v>75</v>
      </c>
      <c r="L121" s="1">
        <v>32</v>
      </c>
      <c r="M121" s="1" t="s">
        <v>76</v>
      </c>
      <c r="N121" s="1" t="s">
        <v>75</v>
      </c>
      <c r="O121" s="1">
        <f t="shared" si="1"/>
        <v>14</v>
      </c>
      <c r="P121" s="1">
        <v>13</v>
      </c>
    </row>
    <row r="122" spans="1:16" x14ac:dyDescent="0.2">
      <c r="A122" s="1">
        <v>2015</v>
      </c>
      <c r="B122" s="1" t="s">
        <v>24</v>
      </c>
      <c r="C122" s="1" t="s">
        <v>2</v>
      </c>
      <c r="D122" s="1">
        <v>2012</v>
      </c>
      <c r="E122" s="1">
        <v>3</v>
      </c>
      <c r="F122" s="1">
        <v>9</v>
      </c>
      <c r="G122" s="1">
        <v>5</v>
      </c>
      <c r="I122" s="1">
        <v>1404.12</v>
      </c>
      <c r="J122" s="1">
        <v>1197.8399999999999</v>
      </c>
      <c r="K122" s="1" t="s">
        <v>75</v>
      </c>
      <c r="L122" s="1">
        <v>22</v>
      </c>
      <c r="M122" s="1" t="s">
        <v>76</v>
      </c>
      <c r="N122" s="1" t="s">
        <v>75</v>
      </c>
      <c r="O122" s="1">
        <f t="shared" si="1"/>
        <v>14</v>
      </c>
      <c r="P122" s="1">
        <v>10</v>
      </c>
    </row>
    <row r="123" spans="1:16" x14ac:dyDescent="0.2">
      <c r="A123" s="1">
        <v>2015</v>
      </c>
      <c r="B123" s="1" t="s">
        <v>30</v>
      </c>
      <c r="C123" s="1" t="s">
        <v>4</v>
      </c>
      <c r="D123" s="1">
        <v>2001</v>
      </c>
      <c r="E123" s="1">
        <v>4</v>
      </c>
      <c r="F123" s="1">
        <v>10</v>
      </c>
      <c r="G123" s="1">
        <v>4</v>
      </c>
      <c r="I123" s="1">
        <v>1429.64</v>
      </c>
      <c r="J123" s="1">
        <v>1247.0999999999999</v>
      </c>
      <c r="K123" s="1" t="s">
        <v>75</v>
      </c>
      <c r="L123" s="1">
        <v>17</v>
      </c>
      <c r="M123" s="1" t="s">
        <v>76</v>
      </c>
      <c r="N123" s="1" t="s">
        <v>76</v>
      </c>
      <c r="O123" s="1">
        <f t="shared" si="1"/>
        <v>14</v>
      </c>
      <c r="P123" s="1">
        <v>4</v>
      </c>
    </row>
    <row r="124" spans="1:16" x14ac:dyDescent="0.2">
      <c r="A124" s="1">
        <v>2015</v>
      </c>
      <c r="B124" s="1" t="s">
        <v>71</v>
      </c>
      <c r="C124" s="1" t="s">
        <v>0</v>
      </c>
      <c r="D124" s="1">
        <v>2003</v>
      </c>
      <c r="E124" s="1">
        <v>5</v>
      </c>
      <c r="F124" s="1">
        <v>8</v>
      </c>
      <c r="G124" s="1">
        <v>6</v>
      </c>
      <c r="I124" s="1">
        <v>1224.68</v>
      </c>
      <c r="J124" s="1">
        <v>1083.3</v>
      </c>
      <c r="K124" s="1" t="s">
        <v>75</v>
      </c>
      <c r="L124" s="1">
        <v>41</v>
      </c>
      <c r="M124" s="1" t="s">
        <v>76</v>
      </c>
      <c r="N124" s="1" t="s">
        <v>76</v>
      </c>
      <c r="O124" s="1">
        <f t="shared" si="1"/>
        <v>14</v>
      </c>
      <c r="P124" s="1">
        <v>7</v>
      </c>
    </row>
    <row r="125" spans="1:16" x14ac:dyDescent="0.2">
      <c r="A125" s="1">
        <v>2015</v>
      </c>
      <c r="B125" s="1" t="s">
        <v>36</v>
      </c>
      <c r="C125" s="1" t="s">
        <v>7</v>
      </c>
      <c r="D125" s="1">
        <v>2008</v>
      </c>
      <c r="E125" s="1">
        <v>6</v>
      </c>
      <c r="F125" s="1">
        <v>8</v>
      </c>
      <c r="G125" s="1">
        <v>6</v>
      </c>
      <c r="I125" s="1">
        <v>1302.8</v>
      </c>
      <c r="J125" s="1">
        <v>1252.5</v>
      </c>
      <c r="K125" s="1" t="s">
        <v>75</v>
      </c>
      <c r="L125" s="1">
        <v>10</v>
      </c>
      <c r="M125" s="1" t="s">
        <v>76</v>
      </c>
      <c r="N125" s="1" t="s">
        <v>76</v>
      </c>
      <c r="O125" s="1">
        <f t="shared" si="1"/>
        <v>14</v>
      </c>
      <c r="P125" s="1">
        <v>8</v>
      </c>
    </row>
    <row r="126" spans="1:16" x14ac:dyDescent="0.2">
      <c r="A126" s="1">
        <v>2015</v>
      </c>
      <c r="B126" s="1" t="s">
        <v>70</v>
      </c>
      <c r="C126" s="1" t="s">
        <v>3</v>
      </c>
      <c r="D126" s="1">
        <v>2001</v>
      </c>
      <c r="E126" s="1">
        <v>7</v>
      </c>
      <c r="F126" s="1">
        <v>7</v>
      </c>
      <c r="G126" s="1">
        <v>7</v>
      </c>
      <c r="I126" s="1">
        <v>1386.84</v>
      </c>
      <c r="J126" s="1">
        <v>1301.3599999999999</v>
      </c>
      <c r="K126" s="1" t="s">
        <v>76</v>
      </c>
      <c r="L126" s="1">
        <v>36</v>
      </c>
      <c r="M126" s="1" t="s">
        <v>76</v>
      </c>
      <c r="N126" s="1" t="s">
        <v>76</v>
      </c>
      <c r="O126" s="1">
        <f t="shared" si="1"/>
        <v>14</v>
      </c>
      <c r="P126" s="1">
        <v>14</v>
      </c>
    </row>
    <row r="127" spans="1:16" x14ac:dyDescent="0.2">
      <c r="A127" s="1">
        <v>2015</v>
      </c>
      <c r="B127" s="1" t="s">
        <v>65</v>
      </c>
      <c r="C127" s="1" t="s">
        <v>1</v>
      </c>
      <c r="D127" s="1">
        <v>2003</v>
      </c>
      <c r="E127" s="1">
        <v>8</v>
      </c>
      <c r="F127" s="1">
        <v>6</v>
      </c>
      <c r="G127" s="1">
        <v>8</v>
      </c>
      <c r="I127" s="1">
        <v>1214.06</v>
      </c>
      <c r="J127" s="1">
        <v>1296.3599999999999</v>
      </c>
      <c r="K127" s="1" t="s">
        <v>76</v>
      </c>
      <c r="L127" s="1">
        <v>7</v>
      </c>
      <c r="M127" s="1" t="s">
        <v>76</v>
      </c>
      <c r="N127" s="1" t="s">
        <v>76</v>
      </c>
      <c r="O127" s="1">
        <f t="shared" si="1"/>
        <v>14</v>
      </c>
      <c r="P127" s="1">
        <v>3</v>
      </c>
    </row>
    <row r="128" spans="1:16" x14ac:dyDescent="0.2">
      <c r="A128" s="1">
        <v>2015</v>
      </c>
      <c r="B128" s="1" t="s">
        <v>69</v>
      </c>
      <c r="C128" s="1" t="s">
        <v>5</v>
      </c>
      <c r="D128" s="1">
        <v>2014</v>
      </c>
      <c r="E128" s="1">
        <v>9</v>
      </c>
      <c r="F128" s="1">
        <v>8</v>
      </c>
      <c r="G128" s="1">
        <v>6</v>
      </c>
      <c r="I128" s="1">
        <v>1176.08</v>
      </c>
      <c r="J128" s="1">
        <v>1220.18</v>
      </c>
      <c r="K128" s="1" t="s">
        <v>76</v>
      </c>
      <c r="L128" s="1">
        <v>37</v>
      </c>
      <c r="M128" s="1" t="s">
        <v>76</v>
      </c>
      <c r="N128" s="1" t="s">
        <v>76</v>
      </c>
      <c r="O128" s="1">
        <f t="shared" si="1"/>
        <v>14</v>
      </c>
      <c r="P128" s="1">
        <v>9</v>
      </c>
    </row>
    <row r="129" spans="1:16" x14ac:dyDescent="0.2">
      <c r="A129" s="1">
        <v>2015</v>
      </c>
      <c r="B129" s="1" t="s">
        <v>45</v>
      </c>
      <c r="C129" s="1" t="s">
        <v>9</v>
      </c>
      <c r="D129" s="1">
        <v>2001</v>
      </c>
      <c r="E129" s="1">
        <v>10</v>
      </c>
      <c r="F129" s="1">
        <v>8</v>
      </c>
      <c r="G129" s="1">
        <v>6</v>
      </c>
      <c r="I129" s="1">
        <v>1190.08</v>
      </c>
      <c r="J129" s="1">
        <v>1308.28</v>
      </c>
      <c r="K129" s="1" t="s">
        <v>76</v>
      </c>
      <c r="L129" s="1">
        <v>21</v>
      </c>
      <c r="M129" s="1" t="s">
        <v>76</v>
      </c>
      <c r="N129" s="1" t="s">
        <v>76</v>
      </c>
      <c r="O129" s="1">
        <f t="shared" si="1"/>
        <v>14</v>
      </c>
      <c r="P129" s="1">
        <v>5</v>
      </c>
    </row>
    <row r="130" spans="1:16" x14ac:dyDescent="0.2">
      <c r="A130" s="1">
        <v>2015</v>
      </c>
      <c r="B130" s="1" t="s">
        <v>41</v>
      </c>
      <c r="C130" s="1" t="s">
        <v>8</v>
      </c>
      <c r="D130" s="1">
        <v>2003</v>
      </c>
      <c r="E130" s="1">
        <v>11</v>
      </c>
      <c r="F130" s="1">
        <v>5</v>
      </c>
      <c r="G130" s="1">
        <v>9</v>
      </c>
      <c r="I130" s="1">
        <v>1231.26</v>
      </c>
      <c r="J130" s="1">
        <v>1257.6199999999999</v>
      </c>
      <c r="K130" s="1" t="s">
        <v>76</v>
      </c>
      <c r="L130" s="1">
        <v>13</v>
      </c>
      <c r="M130" s="1" t="s">
        <v>76</v>
      </c>
      <c r="N130" s="1" t="s">
        <v>76</v>
      </c>
      <c r="O130" s="1">
        <f t="shared" si="1"/>
        <v>14</v>
      </c>
      <c r="P130" s="1">
        <v>12</v>
      </c>
    </row>
    <row r="131" spans="1:16" x14ac:dyDescent="0.2">
      <c r="A131" s="1">
        <v>2015</v>
      </c>
      <c r="B131" s="1" t="s">
        <v>68</v>
      </c>
      <c r="C131" s="1" t="s">
        <v>10</v>
      </c>
      <c r="D131" s="1">
        <v>2002</v>
      </c>
      <c r="E131" s="1">
        <v>13</v>
      </c>
      <c r="F131" s="1">
        <v>4</v>
      </c>
      <c r="G131" s="1">
        <v>10</v>
      </c>
      <c r="I131" s="1">
        <v>1153.1199999999999</v>
      </c>
      <c r="J131" s="1">
        <v>1329.06</v>
      </c>
      <c r="K131" s="1" t="s">
        <v>76</v>
      </c>
      <c r="L131" s="1">
        <v>16</v>
      </c>
      <c r="M131" s="1" t="s">
        <v>76</v>
      </c>
      <c r="N131" s="1" t="s">
        <v>76</v>
      </c>
      <c r="O131" s="1">
        <f t="shared" ref="O131:O143" si="2">F131+G131</f>
        <v>14</v>
      </c>
      <c r="P131" s="1">
        <v>1</v>
      </c>
    </row>
    <row r="132" spans="1:16" x14ac:dyDescent="0.2">
      <c r="A132" s="1">
        <v>2014</v>
      </c>
      <c r="B132" s="1" t="s">
        <v>44</v>
      </c>
      <c r="C132" s="1" t="s">
        <v>3</v>
      </c>
      <c r="D132" s="1">
        <v>2001</v>
      </c>
      <c r="E132" s="1">
        <v>1</v>
      </c>
      <c r="F132" s="1">
        <v>9</v>
      </c>
      <c r="G132" s="1">
        <v>5</v>
      </c>
      <c r="I132" s="1">
        <v>1391.26</v>
      </c>
      <c r="J132" s="1">
        <v>1352.64</v>
      </c>
      <c r="K132" s="1" t="s">
        <v>75</v>
      </c>
      <c r="L132" s="1">
        <v>39</v>
      </c>
      <c r="M132" s="1" t="s">
        <v>75</v>
      </c>
      <c r="N132" s="1" t="s">
        <v>75</v>
      </c>
      <c r="O132" s="1">
        <f t="shared" si="2"/>
        <v>14</v>
      </c>
      <c r="P132" s="1">
        <v>8</v>
      </c>
    </row>
    <row r="133" spans="1:16" x14ac:dyDescent="0.2">
      <c r="A133" s="1">
        <v>2014</v>
      </c>
      <c r="B133" s="1" t="s">
        <v>45</v>
      </c>
      <c r="C133" s="1" t="s">
        <v>9</v>
      </c>
      <c r="D133" s="1">
        <v>2001</v>
      </c>
      <c r="E133" s="1">
        <v>2</v>
      </c>
      <c r="F133" s="1">
        <v>9</v>
      </c>
      <c r="G133" s="1">
        <v>5</v>
      </c>
      <c r="I133" s="1">
        <v>1500.58</v>
      </c>
      <c r="J133" s="1">
        <v>1250.46</v>
      </c>
      <c r="K133" s="1" t="s">
        <v>75</v>
      </c>
      <c r="L133" s="1">
        <v>26</v>
      </c>
      <c r="M133" s="1" t="s">
        <v>76</v>
      </c>
      <c r="N133" s="1" t="s">
        <v>75</v>
      </c>
      <c r="O133" s="1">
        <f t="shared" si="2"/>
        <v>14</v>
      </c>
      <c r="P133" s="1">
        <v>3</v>
      </c>
    </row>
    <row r="134" spans="1:16" x14ac:dyDescent="0.2">
      <c r="A134" s="1">
        <v>2014</v>
      </c>
      <c r="B134" s="1" t="s">
        <v>46</v>
      </c>
      <c r="C134" s="1" t="s">
        <v>10</v>
      </c>
      <c r="D134" s="1">
        <v>2002</v>
      </c>
      <c r="E134" s="1">
        <v>3</v>
      </c>
      <c r="F134" s="1">
        <v>12</v>
      </c>
      <c r="G134" s="1">
        <v>2</v>
      </c>
      <c r="I134" s="1">
        <v>1416.82</v>
      </c>
      <c r="J134" s="1">
        <v>1164.44</v>
      </c>
      <c r="K134" s="1" t="s">
        <v>75</v>
      </c>
      <c r="L134" s="1">
        <v>6</v>
      </c>
      <c r="M134" s="1" t="s">
        <v>76</v>
      </c>
      <c r="N134" s="1" t="s">
        <v>75</v>
      </c>
      <c r="O134" s="1">
        <f t="shared" si="2"/>
        <v>14</v>
      </c>
      <c r="P134" s="1">
        <v>7</v>
      </c>
    </row>
    <row r="135" spans="1:16" x14ac:dyDescent="0.2">
      <c r="A135" s="1">
        <v>2014</v>
      </c>
      <c r="B135" s="1" t="s">
        <v>24</v>
      </c>
      <c r="C135" s="1" t="s">
        <v>2</v>
      </c>
      <c r="D135" s="1">
        <v>2012</v>
      </c>
      <c r="E135" s="1">
        <v>4</v>
      </c>
      <c r="F135" s="1">
        <v>10</v>
      </c>
      <c r="G135" s="1">
        <v>4</v>
      </c>
      <c r="I135" s="1">
        <v>1465.44</v>
      </c>
      <c r="J135" s="1">
        <v>1316</v>
      </c>
      <c r="K135" s="1" t="s">
        <v>75</v>
      </c>
      <c r="L135" s="1">
        <v>34</v>
      </c>
      <c r="M135" s="1" t="s">
        <v>76</v>
      </c>
      <c r="N135" s="1" t="s">
        <v>76</v>
      </c>
      <c r="O135" s="1">
        <f t="shared" si="2"/>
        <v>14</v>
      </c>
      <c r="P135" s="1">
        <v>13</v>
      </c>
    </row>
    <row r="136" spans="1:16" x14ac:dyDescent="0.2">
      <c r="A136" s="1">
        <v>2014</v>
      </c>
      <c r="B136" s="1" t="s">
        <v>36</v>
      </c>
      <c r="C136" s="1" t="s">
        <v>7</v>
      </c>
      <c r="D136" s="1">
        <v>2008</v>
      </c>
      <c r="E136" s="1">
        <v>5</v>
      </c>
      <c r="F136" s="1">
        <v>8</v>
      </c>
      <c r="G136" s="1">
        <v>6</v>
      </c>
      <c r="I136" s="1">
        <v>1369.9</v>
      </c>
      <c r="J136" s="1">
        <v>1242.3</v>
      </c>
      <c r="K136" s="1" t="s">
        <v>75</v>
      </c>
      <c r="L136" s="1">
        <v>18</v>
      </c>
      <c r="M136" s="1" t="s">
        <v>76</v>
      </c>
      <c r="N136" s="1" t="s">
        <v>76</v>
      </c>
      <c r="O136" s="1">
        <f t="shared" si="2"/>
        <v>14</v>
      </c>
      <c r="P136" s="1">
        <v>1</v>
      </c>
    </row>
    <row r="137" spans="1:16" x14ac:dyDescent="0.2">
      <c r="A137" s="1">
        <v>2014</v>
      </c>
      <c r="B137" s="1" t="s">
        <v>71</v>
      </c>
      <c r="C137" s="1" t="s">
        <v>0</v>
      </c>
      <c r="D137" s="1">
        <v>2003</v>
      </c>
      <c r="E137" s="1">
        <v>6</v>
      </c>
      <c r="F137" s="1">
        <v>9</v>
      </c>
      <c r="G137" s="1">
        <v>5</v>
      </c>
      <c r="I137" s="1">
        <v>1413.1</v>
      </c>
      <c r="J137" s="1">
        <v>1353.6</v>
      </c>
      <c r="K137" s="1" t="s">
        <v>75</v>
      </c>
      <c r="L137" s="1">
        <v>34</v>
      </c>
      <c r="M137" s="1" t="s">
        <v>76</v>
      </c>
      <c r="N137" s="1" t="s">
        <v>76</v>
      </c>
      <c r="O137" s="1">
        <f t="shared" si="2"/>
        <v>14</v>
      </c>
      <c r="P137" s="1">
        <v>6</v>
      </c>
    </row>
    <row r="138" spans="1:16" x14ac:dyDescent="0.2">
      <c r="A138" s="1">
        <v>2014</v>
      </c>
      <c r="B138" s="1" t="s">
        <v>72</v>
      </c>
      <c r="C138" s="1" t="s">
        <v>5</v>
      </c>
      <c r="D138" s="1">
        <v>2014</v>
      </c>
      <c r="E138" s="1">
        <v>7</v>
      </c>
      <c r="F138" s="1">
        <v>7</v>
      </c>
      <c r="G138" s="1">
        <v>7</v>
      </c>
      <c r="I138" s="1">
        <v>1214.3</v>
      </c>
      <c r="J138" s="1">
        <v>1267.74</v>
      </c>
      <c r="K138" s="1" t="s">
        <v>76</v>
      </c>
      <c r="L138" s="1">
        <v>24</v>
      </c>
      <c r="M138" s="1" t="s">
        <v>76</v>
      </c>
      <c r="N138" s="1" t="s">
        <v>76</v>
      </c>
      <c r="O138" s="1">
        <f t="shared" si="2"/>
        <v>14</v>
      </c>
      <c r="P138" s="1">
        <v>2</v>
      </c>
    </row>
    <row r="139" spans="1:16" x14ac:dyDescent="0.2">
      <c r="A139" s="1">
        <v>2014</v>
      </c>
      <c r="B139" s="1" t="s">
        <v>73</v>
      </c>
      <c r="C139" s="1" t="s">
        <v>11</v>
      </c>
      <c r="D139" s="1">
        <v>2008</v>
      </c>
      <c r="E139" s="1">
        <v>8</v>
      </c>
      <c r="F139" s="1">
        <v>5</v>
      </c>
      <c r="G139" s="1">
        <v>9</v>
      </c>
      <c r="I139" s="1">
        <v>1302.04</v>
      </c>
      <c r="J139" s="1">
        <v>1432.88</v>
      </c>
      <c r="K139" s="1" t="s">
        <v>76</v>
      </c>
      <c r="L139" s="1">
        <v>54</v>
      </c>
      <c r="M139" s="1" t="s">
        <v>76</v>
      </c>
      <c r="N139" s="1" t="s">
        <v>76</v>
      </c>
      <c r="O139" s="1">
        <f t="shared" si="2"/>
        <v>14</v>
      </c>
      <c r="P139" s="1">
        <v>5</v>
      </c>
    </row>
    <row r="140" spans="1:16" x14ac:dyDescent="0.2">
      <c r="A140" s="1">
        <v>2014</v>
      </c>
      <c r="B140" s="1" t="s">
        <v>65</v>
      </c>
      <c r="C140" s="1" t="s">
        <v>1</v>
      </c>
      <c r="D140" s="1">
        <v>2003</v>
      </c>
      <c r="E140" s="1">
        <v>10</v>
      </c>
      <c r="F140" s="1">
        <v>6</v>
      </c>
      <c r="G140" s="1">
        <v>8</v>
      </c>
      <c r="I140" s="1">
        <v>1359.34</v>
      </c>
      <c r="J140" s="1">
        <v>1341.64</v>
      </c>
      <c r="K140" s="1" t="s">
        <v>76</v>
      </c>
      <c r="L140" s="1">
        <v>12</v>
      </c>
      <c r="M140" s="1" t="s">
        <v>76</v>
      </c>
      <c r="N140" s="1" t="s">
        <v>76</v>
      </c>
      <c r="O140" s="1">
        <f t="shared" si="2"/>
        <v>14</v>
      </c>
      <c r="P140" s="1">
        <v>4</v>
      </c>
    </row>
    <row r="141" spans="1:16" x14ac:dyDescent="0.2">
      <c r="A141" s="1">
        <v>2014</v>
      </c>
      <c r="B141" s="1" t="s">
        <v>41</v>
      </c>
      <c r="C141" s="1" t="s">
        <v>8</v>
      </c>
      <c r="D141" s="1">
        <v>2003</v>
      </c>
      <c r="E141" s="1">
        <v>11</v>
      </c>
      <c r="F141" s="1">
        <v>5</v>
      </c>
      <c r="G141" s="1">
        <v>9</v>
      </c>
      <c r="I141" s="1">
        <v>1227.3</v>
      </c>
      <c r="J141" s="1">
        <v>1239.42</v>
      </c>
      <c r="K141" s="1" t="s">
        <v>76</v>
      </c>
      <c r="L141" s="1">
        <v>15</v>
      </c>
      <c r="M141" s="1" t="s">
        <v>76</v>
      </c>
      <c r="N141" s="1" t="s">
        <v>76</v>
      </c>
      <c r="O141" s="1">
        <f t="shared" si="2"/>
        <v>14</v>
      </c>
      <c r="P141" s="1">
        <v>11</v>
      </c>
    </row>
    <row r="142" spans="1:16" x14ac:dyDescent="0.2">
      <c r="A142" s="1">
        <v>2014</v>
      </c>
      <c r="B142" s="1" t="s">
        <v>42</v>
      </c>
      <c r="C142" s="1" t="s">
        <v>6</v>
      </c>
      <c r="D142" s="1">
        <v>2002</v>
      </c>
      <c r="E142" s="1">
        <v>12</v>
      </c>
      <c r="F142" s="1">
        <v>5</v>
      </c>
      <c r="G142" s="1">
        <v>9</v>
      </c>
      <c r="I142" s="1">
        <v>1134.94</v>
      </c>
      <c r="J142" s="1">
        <v>1201.8399999999999</v>
      </c>
      <c r="K142" s="1" t="s">
        <v>76</v>
      </c>
      <c r="L142" s="1">
        <v>15</v>
      </c>
      <c r="M142" s="1" t="s">
        <v>76</v>
      </c>
      <c r="N142" s="1" t="s">
        <v>76</v>
      </c>
      <c r="O142" s="1">
        <f t="shared" si="2"/>
        <v>14</v>
      </c>
      <c r="P142" s="1">
        <v>10</v>
      </c>
    </row>
    <row r="143" spans="1:16" x14ac:dyDescent="0.2">
      <c r="A143" s="1">
        <v>2014</v>
      </c>
      <c r="B143" s="1" t="s">
        <v>30</v>
      </c>
      <c r="C143" s="1" t="s">
        <v>4</v>
      </c>
      <c r="D143" s="1">
        <v>2001</v>
      </c>
      <c r="E143" s="1">
        <v>14</v>
      </c>
      <c r="F143" s="1">
        <v>3</v>
      </c>
      <c r="G143" s="1">
        <v>11</v>
      </c>
      <c r="I143" s="1">
        <v>1157.52</v>
      </c>
      <c r="J143" s="1">
        <v>1470.48</v>
      </c>
      <c r="K143" s="1" t="s">
        <v>76</v>
      </c>
      <c r="L143" s="1">
        <v>14</v>
      </c>
      <c r="M143" s="1" t="s">
        <v>76</v>
      </c>
      <c r="N143" s="1" t="s">
        <v>76</v>
      </c>
      <c r="O143" s="1">
        <f t="shared" si="2"/>
        <v>14</v>
      </c>
      <c r="P14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Season_Summary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Guevara Jr</dc:creator>
  <cp:lastModifiedBy>Rafael Guevara Jr</cp:lastModifiedBy>
  <dcterms:created xsi:type="dcterms:W3CDTF">2026-08-19T00:40:06Z</dcterms:created>
  <dcterms:modified xsi:type="dcterms:W3CDTF">2026-08-27T01:14:13Z</dcterms:modified>
</cp:coreProperties>
</file>